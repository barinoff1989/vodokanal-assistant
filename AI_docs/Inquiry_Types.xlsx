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Типы обращений" sheetId="2" state="visible" r:id="rId2"/>
    <sheet xmlns:r="http://schemas.openxmlformats.org/officeDocument/2006/relationships" name="Темы вопросов" sheetId="3" state="visible" r:id="rId3"/>
    <sheet xmlns:r="http://schemas.openxmlformats.org/officeDocument/2006/relationships" name="Работа на MVP" sheetId="4" state="visible" r:id="rId4"/>
  </sheets>
  <definedNames>
    <definedName name="_xlnm._FilterDatabase" localSheetId="1" hidden="1">'Типы обращений'!$A$1:$S$18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sz val="10"/>
    </font>
    <font>
      <name val="Calibri"/>
      <b val="1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6B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9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9" fontId="3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Типы обращений и темы вопросов — как читать таблицу</t>
        </is>
      </c>
    </row>
    <row r="3" ht="45" customHeight="1">
      <c r="A3" s="2" t="inlineStr">
        <is>
          <t>Две оси</t>
        </is>
      </c>
      <c r="B3" s="3" t="inlineStr">
        <is>
          <t>Тип обращения — во что регистрируется обращение в системе водоканала (16 значений справочника плюс «авария»). Тема вопроса — по какому пути отвечает ассистент (6 значений). Оси не смешиваются: значения одной никогда не сравниваются со значениями другой.</t>
        </is>
      </c>
    </row>
    <row r="4" ht="30" customHeight="1">
      <c r="A4" s="2" t="inlineStr">
        <is>
          <t>Как определяется тема</t>
        </is>
      </c>
      <c r="B4" s="3" t="inlineStr">
        <is>
          <t>Переданное в запросе → правила (подстроки и регулярные выражения) → запасной k-NN по эмбеддингам → «Общий вопрос». Код: `app/agents/triage.py`, `app/agents/topic_fallback.py`.</t>
        </is>
      </c>
    </row>
    <row r="5" ht="30" customHeight="1">
      <c r="A5" s="2" t="inlineStr">
        <is>
          <t>Как определяется тип</t>
        </is>
      </c>
      <c r="B5" s="3" t="inlineStr">
        <is>
          <t>Переданное в запросе → ключевые слова (`KEYWORDS` в `app/taxonomy.py`) → запасной k-NN по эмбеддингам (7 типов, `app/agents/inquiry_type_fallback.py`) → «Другое».</t>
        </is>
      </c>
    </row>
    <row r="6" ht="45" customHeight="1">
      <c r="A6" s="2" t="inlineStr">
        <is>
          <t>Откуда числа</t>
        </is>
      </c>
      <c r="B6" s="3" t="inlineStr">
        <is>
          <t>136 настоящих обращений (`fixtures/inquiries_voronezh.csv`, ПДн замаскированы). Слова подбирались на двух третях этих же текстов, поэтому цифры на листе «Типы обращений» завышены; на отложенной трети общий охват 75%, точность 65%.</t>
        </is>
      </c>
    </row>
    <row r="7" ht="30" customHeight="1">
      <c r="A7" s="2" t="inlineStr">
        <is>
          <t>Что такое «проработка»</t>
        </is>
      </c>
      <c r="B7" s="3" t="inlineStr">
        <is>
          <t>Насколько тип покрыт: правила, запасной k-NN, примеры, регистрация. Цвет ячейки — на листе «Типы обращений» (легенда под таблицей).</t>
        </is>
      </c>
    </row>
    <row r="8" ht="75" customHeight="1">
      <c r="A8" s="2" t="inlineStr">
        <is>
          <t>Эмбеддинги</t>
        </is>
      </c>
      <c r="B8" s="3" t="inlineStr">
        <is>
          <t>Прототип — `multilingual-e5-small` (CPU); MVP — BGE-M3 (GPU); тираж — как MVP. Запасной k-NN использует тот же эмбеддер, что и поиск, поэтому при смене модели пороги нужно подбирать заново. Сравнение моделей — ADR-300, раздел 2; замер поиска на прототипе — `golden_set/measurement.json`; скрипт замера — `scripts/measure_search_models.py`. Качество BGE-M3 против e5-small на эталонном наборе не сравнивалось.</t>
        </is>
      </c>
    </row>
    <row r="9" ht="45" customHeight="1">
      <c r="A9" s="2" t="inlineStr">
        <is>
          <t>Решение на MVP</t>
        </is>
      </c>
      <c r="B9" s="3" t="inlineStr">
        <is>
          <t>Перед выбором моделей для MVP и тиража провести анализ всех типов и тем на живых обращениях, после чего заново собрать эту таблицу и заново выбрать модели. Зафиксировано в ADR-300 и ADR-600; оценка — лист «Работа на MVP».</t>
        </is>
      </c>
    </row>
    <row r="10" ht="45" customHeight="1">
      <c r="A10" s="2" t="inlineStr">
        <is>
          <t>Ограничения</t>
        </is>
      </c>
      <c r="B10" s="3" t="inlineStr">
        <is>
          <t>Метка типа в выгрузке поставлена оператором, знавшим больше, чем написано в тексте; 28% текстов содержат хоть одно слово из названия своего типа. Точность не может быть выше этого потолка, и он задан данными, а не классификатором.</t>
        </is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40" customWidth="1" min="4" max="4"/>
    <col width="34" customWidth="1" min="5" max="5"/>
    <col width="46" customWidth="1" min="6" max="6"/>
    <col width="22" customWidth="1" min="7" max="7"/>
    <col width="11" customWidth="1" min="8" max="8"/>
    <col width="11" customWidth="1" min="9" max="9"/>
    <col width="12" customWidth="1" min="10" max="10"/>
    <col width="9" customWidth="1" min="11" max="11"/>
    <col width="12" customWidth="1" min="12" max="12"/>
    <col width="12" customWidth="1" min="13" max="13"/>
    <col width="28" customWidth="1" min="14" max="14"/>
    <col width="34" customWidth="1" min="15" max="15"/>
    <col width="40" customWidth="1" min="16" max="16"/>
    <col width="42" customWidth="1" min="17" max="17"/>
    <col width="28" customWidth="1" min="18" max="18"/>
    <col width="12" customWidth="1" min="19" max="19"/>
  </cols>
  <sheetData>
    <row r="1" ht="58" customHeight="1">
      <c r="A1" s="4" t="inlineStr">
        <is>
          <t>№</t>
        </is>
      </c>
      <c r="B1" s="4" t="inlineStr">
        <is>
          <t>Код</t>
        </is>
      </c>
      <c r="C1" s="4" t="inlineStr">
        <is>
          <t>Название в справочнике</t>
        </is>
      </c>
      <c r="D1" s="4" t="inlineStr">
        <is>
          <t>Что это за обращение</t>
        </is>
      </c>
      <c r="E1" s="4" t="inlineStr">
        <is>
          <t>Ключевые слова (правила)</t>
        </is>
      </c>
      <c r="F1" s="4" t="inlineStr">
        <is>
          <t>Как получены слова и что с ними не так</t>
        </is>
      </c>
      <c r="G1" s="4" t="inlineStr">
        <is>
          <t>Регистрируется ассистентом</t>
        </is>
      </c>
      <c r="H1" s="4" t="inlineStr">
        <is>
          <t>Примеров для запасного k-NN</t>
        </is>
      </c>
      <c r="I1" s="4" t="inlineStr">
        <is>
          <t>Наблюдений в выборке (шт.)</t>
        </is>
      </c>
      <c r="J1" s="4" t="inlineStr">
        <is>
          <t>Слово своего типа нашлось (шт.)</t>
        </is>
      </c>
      <c r="K1" s="4" t="inlineStr">
        <is>
          <t>То же, %</t>
        </is>
      </c>
      <c r="L1" s="4" t="inlineStr">
        <is>
          <t>Первый найденный код верный (шт.)</t>
        </is>
      </c>
      <c r="M1" s="4" t="inlineStr">
        <is>
          <t>Найдено несколько кодов (шт.)</t>
        </is>
      </c>
      <c r="N1" s="4" t="inlineStr">
        <is>
          <t>Проработка</t>
        </is>
      </c>
      <c r="O1" s="4" t="inlineStr">
        <is>
          <t>Что сделано</t>
        </is>
      </c>
      <c r="P1" s="4" t="inlineStr">
        <is>
          <t>Что осталось / проблема</t>
        </is>
      </c>
      <c r="Q1" s="4" t="inlineStr">
        <is>
          <t>Что делаем на MVP</t>
        </is>
      </c>
      <c r="R1" s="4" t="inlineStr">
        <is>
          <t>На каком этапе</t>
        </is>
      </c>
      <c r="S1" s="4" t="inlineStr">
        <is>
          <t>Сложность анализа на MVP</t>
        </is>
      </c>
    </row>
    <row r="2">
      <c r="A2" s="5" t="n">
        <v>1</v>
      </c>
      <c r="B2" s="6" t="inlineStr">
        <is>
          <t>meter_verification</t>
        </is>
      </c>
      <c r="C2" s="7" t="inlineStr">
        <is>
          <t>Заказать поверку</t>
        </is>
      </c>
      <c r="D2" s="7" t="inlineStr">
        <is>
          <t>Заявка на поверку прибора учёта.</t>
        </is>
      </c>
      <c r="E2" s="7" t="inlineStr">
        <is>
          <t>«поверк»</t>
        </is>
      </c>
      <c r="F2" s="7" t="inlineStr">
        <is>
          <t>Слово «поверк» найдено в 9 из 9 текстов типа. Оно же встречается у «Направить документы» («направляю акт поверки») — это пересечение словарём не убрать.</t>
        </is>
      </c>
      <c r="G2" s="8" t="inlineStr">
        <is>
          <t>Да — Этап 2 (через Сервис работы с обращениями)</t>
        </is>
      </c>
      <c r="H2" s="5" t="n">
        <v>5</v>
      </c>
      <c r="I2" s="5" t="n">
        <v>9</v>
      </c>
      <c r="J2" s="5" t="n">
        <v>9</v>
      </c>
      <c r="K2" s="9">
        <f>IF(I2=0,"—",J2/I2)</f>
        <v/>
      </c>
      <c r="L2" s="5" t="n">
        <v>9</v>
      </c>
      <c r="M2" s="5" t="n">
        <v>0</v>
      </c>
      <c r="N2" s="8" t="inlineStr">
        <is>
          <t>Проработан: правила + запасной k-NN</t>
        </is>
      </c>
      <c r="O2" s="7" t="inlineStr">
        <is>
          <t>Ключевое слово, 5 примеров для k-NN, шаблон бланка, черновик обращения.</t>
        </is>
      </c>
      <c r="P2" s="7" t="inlineStr">
        <is>
          <t>Пересечение с «Направить документы» снимает только модель; пороги k-NN подобраны на 136 текстах.</t>
        </is>
      </c>
      <c r="Q2" s="7" t="inlineStr">
        <is>
          <t>Перепроверить слово и примеры k-NN на живых обращениях (не менее 100 на тип), подобрать пороги под модель MVP.</t>
        </is>
      </c>
      <c r="R2" s="7" t="inlineStr">
        <is>
          <t>Сделано на прототипе; проверка — MVP; запись — Этап 2</t>
        </is>
      </c>
      <c r="S2" s="5" t="inlineStr">
        <is>
          <t>низкая</t>
        </is>
      </c>
    </row>
    <row r="3">
      <c r="A3" s="5" t="n">
        <v>2</v>
      </c>
      <c r="B3" s="6" t="inlineStr">
        <is>
          <t>meter_sealing</t>
        </is>
      </c>
      <c r="C3" s="7" t="inlineStr">
        <is>
          <t>Заказать опломбировку</t>
        </is>
      </c>
      <c r="D3" s="7" t="inlineStr">
        <is>
          <t>Заявка на опломбировку прибора учёта (ввод в эксплуатацию).</t>
        </is>
      </c>
      <c r="E3" s="7" t="inlineStr">
        <is>
          <t>«опломб», «ввод ипу», «ввод в эксплуатаци»</t>
        </is>
      </c>
      <c r="F3" s="7" t="inlineStr">
        <is>
          <t>Слово «опломб» — 5 из 9; «ввод в эксплуатацию» — синоним опломбировки в языке оператора.</t>
        </is>
      </c>
      <c r="G3" s="8" t="inlineStr">
        <is>
          <t>Да — Этап 2</t>
        </is>
      </c>
      <c r="H3" s="5" t="n">
        <v>4</v>
      </c>
      <c r="I3" s="5" t="n">
        <v>9</v>
      </c>
      <c r="J3" s="5" t="n">
        <v>6</v>
      </c>
      <c r="K3" s="9">
        <f>IF(I3=0,"—",J3/I3)</f>
        <v/>
      </c>
      <c r="L3" s="5" t="n">
        <v>6</v>
      </c>
      <c r="M3" s="5" t="n">
        <v>0</v>
      </c>
      <c r="N3" s="8" t="inlineStr">
        <is>
          <t>Проработан: правила + запасной k-NN</t>
        </is>
      </c>
      <c r="O3" s="7" t="inlineStr">
        <is>
          <t>Ключевые слова, 4 примера для k-NN, шаблон бланка.</t>
        </is>
      </c>
      <c r="P3" s="7" t="inlineStr">
        <is>
          <t>Часть текстов записана иначе, слова не находятся (3 из 9 без своего слова).</t>
        </is>
      </c>
      <c r="Q3" s="7" t="inlineStr">
        <is>
          <t>Проверить формулировки на живых данных, пополнить слова и примеры.</t>
        </is>
      </c>
      <c r="R3" s="7" t="inlineStr">
        <is>
          <t>Сделано на прототипе; проверка — MVP; запись — Этап 2</t>
        </is>
      </c>
      <c r="S3" s="5" t="inlineStr">
        <is>
          <t>низкая</t>
        </is>
      </c>
    </row>
    <row r="4">
      <c r="A4" s="5" t="n">
        <v>3</v>
      </c>
      <c r="B4" s="6" t="inlineStr">
        <is>
          <t>meter_unsealing</t>
        </is>
      </c>
      <c r="C4" s="7" t="inlineStr">
        <is>
          <t>Снятие пломбы</t>
        </is>
      </c>
      <c r="D4" s="7" t="inlineStr">
        <is>
          <t>Снятие пломбы, снятие прибора учёта (в том числе повторная опломбировка после снятия).</t>
        </is>
      </c>
      <c r="E4" s="7" t="inlineStr">
        <is>
          <t>«снятие пломб», «снять пломб», «снятие ипу», «снятие с эксплуатации»</t>
        </is>
      </c>
      <c r="F4" s="7" t="inlineStr">
        <is>
          <t>«снятие пломб», «снятие ИПУ» — 8 из 9. Слово «установк» не взято: оно даёт чужие срабатывания («для установки обратного клапана»).</t>
        </is>
      </c>
      <c r="G4" s="8" t="inlineStr">
        <is>
          <t>Да — Этап 2</t>
        </is>
      </c>
      <c r="H4" s="5" t="n">
        <v>4</v>
      </c>
      <c r="I4" s="5" t="n">
        <v>9</v>
      </c>
      <c r="J4" s="5" t="n">
        <v>8</v>
      </c>
      <c r="K4" s="9">
        <f>IF(I4=0,"—",J4/I4)</f>
        <v/>
      </c>
      <c r="L4" s="5" t="n">
        <v>8</v>
      </c>
      <c r="M4" s="5" t="n">
        <v>0</v>
      </c>
      <c r="N4" s="8" t="inlineStr">
        <is>
          <t>Проработан: правила + запасной k-NN</t>
        </is>
      </c>
      <c r="O4" s="7" t="inlineStr">
        <is>
          <t>Ключевые слова, 4 примера для k-NN, шаблон бланка.</t>
        </is>
      </c>
      <c r="P4" s="7" t="inlineStr">
        <is>
          <t>Пересечение с опломбировкой и установкой.</t>
        </is>
      </c>
      <c r="Q4" s="7" t="inlineStr">
        <is>
          <t>Проверить пересечения с «Заказать опломбировку» и «Заказать установку» на живых данных.</t>
        </is>
      </c>
      <c r="R4" s="7" t="inlineStr">
        <is>
          <t>Сделано на прототипе; проверка — MVP; запись — Этап 2</t>
        </is>
      </c>
      <c r="S4" s="5" t="inlineStr">
        <is>
          <t>средняя</t>
        </is>
      </c>
    </row>
    <row r="5">
      <c r="A5" s="5" t="n">
        <v>4</v>
      </c>
      <c r="B5" s="6" t="inlineStr">
        <is>
          <t>meter_installation</t>
        </is>
      </c>
      <c r="C5" s="7" t="inlineStr">
        <is>
          <t>Заказать установку прибора учета</t>
        </is>
      </c>
      <c r="D5" s="7" t="inlineStr">
        <is>
          <t>Заявка на установку или замену прибора учёта.</t>
        </is>
      </c>
      <c r="E5" s="7" t="inlineStr">
        <is>
          <t>«замен», «установку прибор», «установить прибор», «установка прибор»</t>
        </is>
      </c>
      <c r="F5" s="7" t="inlineStr">
        <is>
          <t>Корень «замен» на выборке не даёт чужих срабатываний; «установк» даёт («для установки обратного клапана») — поэтому взяты только формы «установить/установка прибора».</t>
        </is>
      </c>
      <c r="G5" s="8" t="inlineStr">
        <is>
          <t>Да — Этап 2</t>
        </is>
      </c>
      <c r="H5" s="5" t="n">
        <v>4</v>
      </c>
      <c r="I5" s="5" t="n">
        <v>9</v>
      </c>
      <c r="J5" s="5" t="n">
        <v>7</v>
      </c>
      <c r="K5" s="9">
        <f>IF(I5=0,"—",J5/I5)</f>
        <v/>
      </c>
      <c r="L5" s="5" t="n">
        <v>6</v>
      </c>
      <c r="M5" s="5" t="n">
        <v>1</v>
      </c>
      <c r="N5" s="8" t="inlineStr">
        <is>
          <t>Проработан: правила + запасной k-NN</t>
        </is>
      </c>
      <c r="O5" s="7" t="inlineStr">
        <is>
          <t>Ключевые слова, 4 примера для k-NN, шаблон бланка.</t>
        </is>
      </c>
      <c r="P5" s="7" t="inlineStr">
        <is>
          <t>«Замена» может означать и замену другого оборудования — проверить на живых данных.</t>
        </is>
      </c>
      <c r="Q5" s="7" t="inlineStr">
        <is>
          <t>Проверить точность слова «замен» на живых обращениях.</t>
        </is>
      </c>
      <c r="R5" s="7" t="inlineStr">
        <is>
          <t>Сделано на прототипе; проверка — MVP; запись — Этап 2</t>
        </is>
      </c>
      <c r="S5" s="5" t="inlineStr">
        <is>
          <t>средняя</t>
        </is>
      </c>
    </row>
    <row r="6">
      <c r="A6" s="5" t="n">
        <v>5</v>
      </c>
      <c r="B6" s="6" t="inlineStr">
        <is>
          <t>certificate</t>
        </is>
      </c>
      <c r="C6" s="7" t="inlineStr">
        <is>
          <t>Справка</t>
        </is>
      </c>
      <c r="D6" s="7" t="inlineStr">
        <is>
          <t>Справка. В этой системе — справка для сделки купли-продажи (снятие контрольных показаний на дату сделки).</t>
        </is>
      </c>
      <c r="E6" s="7" t="inlineStr">
        <is>
          <t>«сделка», «сделки», «продаж», «справк»</t>
        </is>
      </c>
      <c r="F6" s="7" t="inlineStr">
        <is>
          <t>«справк», «сделка», «продаж»; «Справка» в этой системе — не справка о долге, а для сделки.</t>
        </is>
      </c>
      <c r="G6" s="8" t="inlineStr">
        <is>
          <t>Да — Этап 2</t>
        </is>
      </c>
      <c r="H6" s="5" t="n">
        <v>4</v>
      </c>
      <c r="I6" s="5" t="n">
        <v>9</v>
      </c>
      <c r="J6" s="5" t="n">
        <v>6</v>
      </c>
      <c r="K6" s="9">
        <f>IF(I6=0,"—",J6/I6)</f>
        <v/>
      </c>
      <c r="L6" s="5" t="n">
        <v>5</v>
      </c>
      <c r="M6" s="5" t="n">
        <v>1</v>
      </c>
      <c r="N6" s="8" t="inlineStr">
        <is>
          <t>Проработан: правила + запасной k-NN</t>
        </is>
      </c>
      <c r="O6" s="7" t="inlineStr">
        <is>
          <t>Ключевые слова, 4 примера для k-NN, шаблон бланка «справка о состоянии расчётов».</t>
        </is>
      </c>
      <c r="P6" s="7" t="inlineStr">
        <is>
          <t>Путаница со справкой об отсутствии задолженности (это отдельный запрос, отвечает бланк).</t>
        </is>
      </c>
      <c r="Q6" s="7" t="inlineStr">
        <is>
          <t>Разобрать на живых данных, где кончается «Справка» и начинается запрос о задолженности.</t>
        </is>
      </c>
      <c r="R6" s="7" t="inlineStr">
        <is>
          <t>Сделано на прототипе; проверка — MVP; запись — Этап 2</t>
        </is>
      </c>
      <c r="S6" s="5" t="inlineStr">
        <is>
          <t>средняя</t>
        </is>
      </c>
    </row>
    <row r="7">
      <c r="A7" s="5" t="n">
        <v>6</v>
      </c>
      <c r="B7" s="6" t="inlineStr">
        <is>
          <t>inspection</t>
        </is>
      </c>
      <c r="C7" s="7" t="inlineStr">
        <is>
          <t>Обследование</t>
        </is>
      </c>
      <c r="D7" s="7" t="inlineStr">
        <is>
          <t>Обследование прибора учёта (снятие контрольных показаний).</t>
        </is>
      </c>
      <c r="E7" s="7" t="inlineStr">
        <is>
          <t>«снятие кп», «снятие к/п», «снятие контрольных»</t>
        </is>
      </c>
      <c r="F7" s="7" t="inlineStr">
        <is>
          <t>Все 9 текстов — «снятие кп» (контрольных показаний); слова «обследование» нет ни в одном: оператор пишет на своём языке.</t>
        </is>
      </c>
      <c r="G7" s="8" t="inlineStr">
        <is>
          <t>Да — Этап 2</t>
        </is>
      </c>
      <c r="H7" s="5" t="n">
        <v>3</v>
      </c>
      <c r="I7" s="5" t="n">
        <v>9</v>
      </c>
      <c r="J7" s="5" t="n">
        <v>9</v>
      </c>
      <c r="K7" s="9">
        <f>IF(I7=0,"—",J7/I7)</f>
        <v/>
      </c>
      <c r="L7" s="5" t="n">
        <v>9</v>
      </c>
      <c r="M7" s="5" t="n">
        <v>0</v>
      </c>
      <c r="N7" s="8" t="inlineStr">
        <is>
          <t>Проработан: правила + запасной k-NN</t>
        </is>
      </c>
      <c r="O7" s="7" t="inlineStr">
        <is>
          <t>Ключевые слова («снятие кп», «снятие к/п», «снятие контрольных»), 3 примера для k-NN.</t>
        </is>
      </c>
      <c r="P7" s="7" t="inlineStr">
        <is>
          <t>Слова взяты из служебных пометок оператора; в обращениях абонентов формулировка может быть другой.</t>
        </is>
      </c>
      <c r="Q7" s="7" t="inlineStr">
        <is>
          <t>Проверить, как абоненты пишут о том же (не как оператор), на живых обращениях.</t>
        </is>
      </c>
      <c r="R7" s="7" t="inlineStr">
        <is>
          <t>Сделано на прототипе; проверка — MVP; запись — Этап 2</t>
        </is>
      </c>
      <c r="S7" s="5" t="inlineStr">
        <is>
          <t>средняя</t>
        </is>
      </c>
    </row>
    <row r="8">
      <c r="A8" s="5" t="n">
        <v>7</v>
      </c>
      <c r="B8" s="6" t="inlineStr">
        <is>
          <t>document_submission</t>
        </is>
      </c>
      <c r="C8" s="7" t="inlineStr">
        <is>
          <t>Направить документы</t>
        </is>
      </c>
      <c r="D8" s="7" t="inlineStr">
        <is>
          <t>Абонент направляет документы (акты, платёжные документы, копии) к поданному обращению.</t>
        </is>
      </c>
      <c r="E8" s="7" t="inlineStr">
        <is>
          <t>«направляю», «прилагаю», «прикрепля», «во вложении», «высылаю»</t>
        </is>
      </c>
      <c r="F8" s="7" t="inlineStr">
        <is>
          <t>«направляю», «прилагаю», «во вложении» — только 1 из 9 текстов имеет своё слово. Это действие, а не тема.</t>
        </is>
      </c>
      <c r="G8" s="8" t="inlineStr">
        <is>
          <t>Да — Этап 2</t>
        </is>
      </c>
      <c r="H8" s="5" t="n">
        <v>4</v>
      </c>
      <c r="I8" s="5" t="n">
        <v>9</v>
      </c>
      <c r="J8" s="5" t="n">
        <v>1</v>
      </c>
      <c r="K8" s="9">
        <f>IF(I8=0,"—",J8/I8)</f>
        <v/>
      </c>
      <c r="L8" s="5" t="n">
        <v>0</v>
      </c>
      <c r="M8" s="5" t="n">
        <v>1</v>
      </c>
      <c r="N8" s="10" t="inlineStr">
        <is>
          <t>Частично: слабые правила, держится на k-NN</t>
        </is>
      </c>
      <c r="O8" s="7" t="inlineStr">
        <is>
          <t>Ключевые слова, 4 примера для k-NN.</t>
        </is>
      </c>
      <c r="P8" s="7" t="inlineStr">
        <is>
          <t>Тексты почти не содержат слов из названия («направить контролеру», «квитанцию отправить»); пересекается с другими типами.</t>
        </is>
      </c>
      <c r="Q8" s="7" t="inlineStr">
        <is>
          <t>Решить на живых данных, нужен ли этот тип классификатору (это действие над обращением); набрать примеры.</t>
        </is>
      </c>
      <c r="R8" s="7" t="inlineStr">
        <is>
          <t>MVP (решение и примеры); запись — Этап 2</t>
        </is>
      </c>
      <c r="S8" s="5" t="inlineStr">
        <is>
          <t>высокая</t>
        </is>
      </c>
    </row>
    <row r="9">
      <c r="A9" s="5" t="n">
        <v>8</v>
      </c>
      <c r="B9" s="6" t="inlineStr">
        <is>
          <t>penalty</t>
        </is>
      </c>
      <c r="C9" s="7" t="inlineStr">
        <is>
          <t>Пени</t>
        </is>
      </c>
      <c r="D9" s="7" t="inlineStr">
        <is>
          <t>Вопросы о начислении и снятии пени.</t>
        </is>
      </c>
      <c r="E9" s="7" t="inlineStr">
        <is>
          <t>«пени», «пеня», «пеню», «пеней»</t>
        </is>
      </c>
      <c r="F9" s="7" t="inlineStr">
        <is>
          <t>«пени», «пеня», «пеню», «пеней» — наблюдается чисто: 8 из 9, ни одного чужого.</t>
        </is>
      </c>
      <c r="G9" s="7" t="inlineStr">
        <is>
          <t>Нет — только консультация</t>
        </is>
      </c>
      <c r="H9" s="5" t="n">
        <v>0</v>
      </c>
      <c r="I9" s="5" t="n">
        <v>9</v>
      </c>
      <c r="J9" s="5" t="n">
        <v>8</v>
      </c>
      <c r="K9" s="9">
        <f>IF(I9=0,"—",J9/I9)</f>
        <v/>
      </c>
      <c r="L9" s="5" t="n">
        <v>8</v>
      </c>
      <c r="M9" s="5" t="n">
        <v>8</v>
      </c>
      <c r="N9" s="11" t="inlineStr">
        <is>
          <t>Только правила</t>
        </is>
      </c>
      <c r="O9" s="7" t="inlineStr">
        <is>
          <t>Ключевые слова.</t>
        </is>
      </c>
      <c r="P9" s="7" t="inlineStr">
        <is>
          <t>Нет запасного k-NN. Тексты — споры («убрать пени», «за что начисляется»), а не заявки; в 8 из 9 текстов есть и слова других типов.</t>
        </is>
      </c>
      <c r="Q9" s="7" t="inlineStr">
        <is>
          <t>Отделить спор от заявки на живых данных; набрать примеры; решить, регистрируется ли тип.</t>
        </is>
      </c>
      <c r="R9" s="7" t="inlineStr">
        <is>
          <t>MVP (анализ и k-NN); регистрация — по решению владельца</t>
        </is>
      </c>
      <c r="S9" s="5" t="inlineStr">
        <is>
          <t>средняя</t>
        </is>
      </c>
    </row>
    <row r="10">
      <c r="A10" s="5" t="n">
        <v>9</v>
      </c>
      <c r="B10" s="6" t="inlineStr">
        <is>
          <t>debt</t>
        </is>
      </c>
      <c r="C10" s="7" t="inlineStr">
        <is>
          <t>Задолженность</t>
        </is>
      </c>
      <c r="D10" s="7" t="inlineStr">
        <is>
          <t>Вопросы и претензии по задолженности: откуда долг, просьба пересчитать.</t>
        </is>
      </c>
      <c r="E10" s="7" t="inlineStr">
        <is>
          <t>«задолж», «долг»</t>
        </is>
      </c>
      <c r="F10" s="7" t="inlineStr">
        <is>
          <t>«задолж», «долг» — 5 из 9. Тексты почти всегда спор («откуда задолженность, если я плачу»), а не запрос суммы.</t>
        </is>
      </c>
      <c r="G10" s="7" t="inlineStr">
        <is>
          <t>Нет — только консультация</t>
        </is>
      </c>
      <c r="H10" s="5" t="n">
        <v>0</v>
      </c>
      <c r="I10" s="5" t="n">
        <v>9</v>
      </c>
      <c r="J10" s="5" t="n">
        <v>5</v>
      </c>
      <c r="K10" s="9">
        <f>IF(I10=0,"—",J10/I10)</f>
        <v/>
      </c>
      <c r="L10" s="5" t="n">
        <v>3</v>
      </c>
      <c r="M10" s="5" t="n">
        <v>5</v>
      </c>
      <c r="N10" s="11" t="inlineStr">
        <is>
          <t>Только правила</t>
        </is>
      </c>
      <c r="O10" s="7" t="inlineStr">
        <is>
          <t>Ключевые слова; отдельный путь для запроса суммы долга (тема «Лицевой счёт»).</t>
        </is>
      </c>
      <c r="P10" s="7" t="inlineStr">
        <is>
          <t>Нет k-NN; первый код верный в 3 из 9 (перекрытие с начислениями и оплатой).</t>
        </is>
      </c>
      <c r="Q10" s="7" t="inlineStr">
        <is>
          <t>Собрать корпус вопросов-заявок, отделить от споров; добавить примеры k-NN.</t>
        </is>
      </c>
      <c r="R10" s="7" t="inlineStr">
        <is>
          <t>MVP (анализ и k-NN); регистрация — по решению владельца</t>
        </is>
      </c>
      <c r="S10" s="5" t="inlineStr">
        <is>
          <t>высокая</t>
        </is>
      </c>
    </row>
    <row r="11">
      <c r="A11" s="5" t="n">
        <v>10</v>
      </c>
      <c r="B11" s="6" t="inlineStr">
        <is>
          <t>payment</t>
        </is>
      </c>
      <c r="C11" s="7" t="inlineStr">
        <is>
          <t>Оплата</t>
        </is>
      </c>
      <c r="D11" s="7" t="inlineStr">
        <is>
          <t>Вопросы об оплате: платёжный документ, ошибка при оплате, зачёт платежа.</t>
        </is>
      </c>
      <c r="E11" s="7" t="inlineStr">
        <is>
          <t>«оплатил», «оплачен», «платежный документ», «квитанц»</t>
        </is>
      </c>
      <c r="F11" s="7" t="inlineStr">
        <is>
          <t>«оплатил», «оплачен», «платежный документ», «квитанц» — 5 из 9; слова пересекаются с задолженностью и возвратом.</t>
        </is>
      </c>
      <c r="G11" s="7" t="inlineStr">
        <is>
          <t>Нет — только консультация</t>
        </is>
      </c>
      <c r="H11" s="5" t="n">
        <v>0</v>
      </c>
      <c r="I11" s="5" t="n">
        <v>9</v>
      </c>
      <c r="J11" s="5" t="n">
        <v>5</v>
      </c>
      <c r="K11" s="9">
        <f>IF(I11=0,"—",J11/I11)</f>
        <v/>
      </c>
      <c r="L11" s="5" t="n">
        <v>3</v>
      </c>
      <c r="M11" s="5" t="n">
        <v>3</v>
      </c>
      <c r="N11" s="11" t="inlineStr">
        <is>
          <t>Только правила</t>
        </is>
      </c>
      <c r="O11" s="7" t="inlineStr">
        <is>
          <t>Ключевые слова.</t>
        </is>
      </c>
      <c r="P11" s="7" t="inlineStr">
        <is>
          <t>Нет k-NN; первый код верный в 3 из 9.</t>
        </is>
      </c>
      <c r="Q11" s="7" t="inlineStr">
        <is>
          <t>Разобрать пересечение с задолженностью и возвратом на живых данных.</t>
        </is>
      </c>
      <c r="R11" s="7" t="inlineStr">
        <is>
          <t>MVP (анализ и k-NN); регистрация — по решению владельца</t>
        </is>
      </c>
      <c r="S11" s="5" t="inlineStr">
        <is>
          <t>высокая</t>
        </is>
      </c>
    </row>
    <row r="12">
      <c r="A12" s="5" t="n">
        <v>11</v>
      </c>
      <c r="B12" s="6" t="inlineStr">
        <is>
          <t>refund</t>
        </is>
      </c>
      <c r="C12" s="7" t="inlineStr">
        <is>
          <t>Возврат денежных средств</t>
        </is>
      </c>
      <c r="D12" s="7" t="inlineStr">
        <is>
          <t>Просьба вернуть или перенаправить денежные средства (переплата, ошибочный платёж).</t>
        </is>
      </c>
      <c r="E12" s="7" t="inlineStr">
        <is>
          <t>«возврат», «денежных средств», «перенаправить»</t>
        </is>
      </c>
      <c r="F12" s="7" t="inlineStr">
        <is>
          <t>«возврат», «денежных средств», «перенаправить» — только 3 из 9; первый код верный в 0 из 9.</t>
        </is>
      </c>
      <c r="G12" s="7" t="inlineStr">
        <is>
          <t>Нет — только консультация</t>
        </is>
      </c>
      <c r="H12" s="5" t="n">
        <v>0</v>
      </c>
      <c r="I12" s="5" t="n">
        <v>9</v>
      </c>
      <c r="J12" s="5" t="n">
        <v>3</v>
      </c>
      <c r="K12" s="9">
        <f>IF(I12=0,"—",J12/I12)</f>
        <v/>
      </c>
      <c r="L12" s="5" t="n">
        <v>0</v>
      </c>
      <c r="M12" s="5" t="n">
        <v>6</v>
      </c>
      <c r="N12" s="11" t="inlineStr">
        <is>
          <t>Только правила (слабые)</t>
        </is>
      </c>
      <c r="O12" s="7" t="inlineStr">
        <is>
          <t>Ключевые слова.</t>
        </is>
      </c>
      <c r="P12" s="7" t="inlineStr">
        <is>
          <t>Правила почти не работают: тексты описывают ситуацию своими словами.</t>
        </is>
      </c>
      <c r="Q12" s="7" t="inlineStr">
        <is>
          <t>Пересобрать слова по живым данным; набрать примеры для k-NN.</t>
        </is>
      </c>
      <c r="R12" s="7" t="inlineStr">
        <is>
          <t>MVP (анализ и k-NN); регистрация — по решению владельца</t>
        </is>
      </c>
      <c r="S12" s="5" t="inlineStr">
        <is>
          <t>высокая</t>
        </is>
      </c>
    </row>
    <row r="13">
      <c r="A13" s="5" t="n">
        <v>12</v>
      </c>
      <c r="B13" s="6" t="inlineStr">
        <is>
          <t>accrual_recalculation</t>
        </is>
      </c>
      <c r="C13" s="7" t="inlineStr">
        <is>
          <t>Начисления/Перерасчет</t>
        </is>
      </c>
      <c r="D13" s="7" t="inlineStr">
        <is>
          <t>Вопросы о начислениях и просьбы о перерасчёте («почему сумма выросла», «прошу пересчитать»).</t>
        </is>
      </c>
      <c r="E13" s="7" t="inlineStr">
        <is>
          <t>«перерасч», «пересчит», «начислен»</t>
        </is>
      </c>
      <c r="F13" s="7" t="inlineStr">
        <is>
          <t>«перерасч», «пересчит», «начислен» — 3 из 9 со своим словом, но хоть какое-то слово есть у 9 из 9: слова этого типа встречаются в чужих.</t>
        </is>
      </c>
      <c r="G13" s="7" t="inlineStr">
        <is>
          <t>Нет — только консультация</t>
        </is>
      </c>
      <c r="H13" s="5" t="n">
        <v>0</v>
      </c>
      <c r="I13" s="5" t="n">
        <v>9</v>
      </c>
      <c r="J13" s="5" t="n">
        <v>3</v>
      </c>
      <c r="K13" s="9">
        <f>IF(I13=0,"—",J13/I13)</f>
        <v/>
      </c>
      <c r="L13" s="5" t="n">
        <v>3</v>
      </c>
      <c r="M13" s="5" t="n">
        <v>4</v>
      </c>
      <c r="N13" s="11" t="inlineStr">
        <is>
          <t>Только правила</t>
        </is>
      </c>
      <c r="O13" s="7" t="inlineStr">
        <is>
          <t>Ключевые слова; ответ по базе знаний (повышающий коэффициент, показания).</t>
        </is>
      </c>
      <c r="P13" s="7" t="inlineStr">
        <is>
          <t>Нет k-NN; самое частое слово «начислен» встречается у соседних типов.</t>
        </is>
      </c>
      <c r="Q13" s="7" t="inlineStr">
        <is>
          <t>Отделить вопрос от просьбы о перерасчёте на живых данных; набрать примеры.</t>
        </is>
      </c>
      <c r="R13" s="7" t="inlineStr">
        <is>
          <t>MVP (анализ и k-NN); регистрация — по решению владельца</t>
        </is>
      </c>
      <c r="S13" s="5" t="inlineStr">
        <is>
          <t>высокая</t>
        </is>
      </c>
    </row>
    <row r="14">
      <c r="A14" s="5" t="n">
        <v>13</v>
      </c>
      <c r="B14" s="6" t="inlineStr">
        <is>
          <t>inquiry_cancellation</t>
        </is>
      </c>
      <c r="C14" s="7" t="inlineStr">
        <is>
          <t>Отмена обращения</t>
        </is>
      </c>
      <c r="D14" s="7" t="inlineStr">
        <is>
          <t>Отмена обращения. По текстам — скорее статус обращения, чем тема (тексты вроде «ПУ 1шт ГВ», «Тестовая»).</t>
        </is>
      </c>
      <c r="E14" s="7" t="inlineStr">
        <is>
          <t>«отменить заявк», «отменить обращен», «отмена обращен»</t>
        </is>
      </c>
      <c r="F14" s="7" t="inlineStr">
        <is>
          <t>«отменить заявк», «отмена обращен» — 1 из 9. Метку нельзя вывести из текста никаким способом: оператор ставил её, зная больше, чем написано.</t>
        </is>
      </c>
      <c r="G14" s="7" t="inlineStr">
        <is>
          <t>Нет</t>
        </is>
      </c>
      <c r="H14" s="5" t="n">
        <v>0</v>
      </c>
      <c r="I14" s="5" t="n">
        <v>9</v>
      </c>
      <c r="J14" s="5" t="n">
        <v>1</v>
      </c>
      <c r="K14" s="9">
        <f>IF(I14=0,"—",J14/I14)</f>
        <v/>
      </c>
      <c r="L14" s="5" t="n">
        <v>0</v>
      </c>
      <c r="M14" s="5" t="n">
        <v>1</v>
      </c>
      <c r="N14" s="12" t="inlineStr">
        <is>
          <t>По тексту не выводится</t>
        </is>
      </c>
      <c r="O14" s="7" t="inlineStr">
        <is>
          <t>Ключевые слова (почти не срабатывают).</t>
        </is>
      </c>
      <c r="P14" s="7" t="inlineStr">
        <is>
          <t>Тип не о теме вопроса, а о статусе обращения.</t>
        </is>
      </c>
      <c r="Q14" s="7" t="inlineStr">
        <is>
          <t>Решить на живых данных: исключить из классификации по тексту либо вести как статус.</t>
        </is>
      </c>
      <c r="R14" s="7" t="inlineStr">
        <is>
          <t>MVP (решение)</t>
        </is>
      </c>
      <c r="S14" s="5" t="inlineStr">
        <is>
          <t>средняя</t>
        </is>
      </c>
    </row>
    <row r="15">
      <c r="A15" s="5" t="n">
        <v>14</v>
      </c>
      <c r="B15" s="6" t="inlineStr">
        <is>
          <t>meter_reacceptance</t>
        </is>
      </c>
      <c r="C15" s="7" t="inlineStr">
        <is>
          <t>Повторная приемка узла учета воды в эксплуатацию (без авто)</t>
        </is>
      </c>
      <c r="D15" s="7" t="inlineStr">
        <is>
          <t>Повторная приёмка узла учёта воды в эксплуатацию (вариант «без авто»).</t>
        </is>
      </c>
      <c r="E15" s="7" t="inlineStr">
        <is>
          <t>«повторн. опломб», «повторная приемк», «приемка узла»</t>
        </is>
      </c>
      <c r="F15" s="7" t="inlineStr">
        <is>
          <t>Слов нет: в 0 из 9 текстов есть слово типа; тексты — короткие пометки («пу хвс», «ХВ»).</t>
        </is>
      </c>
      <c r="G15" s="7" t="inlineStr">
        <is>
          <t>Нет</t>
        </is>
      </c>
      <c r="H15" s="5" t="n">
        <v>0</v>
      </c>
      <c r="I15" s="5" t="n">
        <v>9</v>
      </c>
      <c r="J15" s="5" t="n">
        <v>0</v>
      </c>
      <c r="K15" s="9">
        <f>IF(I15=0,"—",J15/I15)</f>
        <v/>
      </c>
      <c r="L15" s="5" t="n">
        <v>0</v>
      </c>
      <c r="M15" s="5" t="n">
        <v>0</v>
      </c>
      <c r="N15" s="12" t="inlineStr">
        <is>
          <t>Не проработан: данных не хватает</t>
        </is>
      </c>
      <c r="O15" s="7" t="inlineStr">
        <is>
          <t>Заведены слова «повторная приемка», «приемка узла» — не срабатывают.</t>
        </is>
      </c>
      <c r="P15" s="7" t="inlineStr">
        <is>
          <t>По тексту тип не отличим от других; нужны живые данные.</t>
        </is>
      </c>
      <c r="Q15" s="7" t="inlineStr">
        <is>
          <t>Собрать наблюдения; спросить владельца, чем отличается от установки и опломбировки.</t>
        </is>
      </c>
      <c r="R15" s="7" t="inlineStr">
        <is>
          <t>MVP (после ответа владельца)</t>
        </is>
      </c>
      <c r="S15" s="5" t="inlineStr">
        <is>
          <t>высокая</t>
        </is>
      </c>
    </row>
    <row r="16">
      <c r="A16" s="5" t="n">
        <v>15</v>
      </c>
      <c r="B16" s="6" t="inlineStr">
        <is>
          <t>meter_reacceptance_auto</t>
        </is>
      </c>
      <c r="C16" s="7" t="inlineStr">
        <is>
          <t>Повторная приемка узла учета воды в эксплуатацию (с авто)</t>
        </is>
      </c>
      <c r="D16" s="7" t="inlineStr">
        <is>
          <t>То же, вариант «с авто». Что означает суффикс «с авто», владелец не подтвердил.</t>
        </is>
      </c>
      <c r="E16" s="7" t="inlineStr">
        <is>
          <t>— (слов нет)</t>
        </is>
      </c>
      <c r="F16" s="7" t="inlineStr">
        <is>
          <t>Одно наблюдение в выборке; слов нет.</t>
        </is>
      </c>
      <c r="G16" s="7" t="inlineStr">
        <is>
          <t>Нет</t>
        </is>
      </c>
      <c r="H16" s="5" t="n">
        <v>0</v>
      </c>
      <c r="I16" s="5" t="n">
        <v>1</v>
      </c>
      <c r="J16" s="5" t="n">
        <v>0</v>
      </c>
      <c r="K16" s="9">
        <f>IF(I16=0,"—",J16/I16)</f>
        <v/>
      </c>
      <c r="L16" s="5" t="n">
        <v>0</v>
      </c>
      <c r="M16" s="5" t="n">
        <v>0</v>
      </c>
      <c r="N16" s="12" t="inlineStr">
        <is>
          <t>Не проработан: одно наблюдение</t>
        </is>
      </c>
      <c r="O16" s="7" t="inlineStr">
        <is>
          <t>Не заведён (слова были бы выдуманы).</t>
        </is>
      </c>
      <c r="P16" s="7" t="inlineStr">
        <is>
          <t>Различие «с авто» / «без авто» по тексту не видно; смысл суффикса неизвестен.</t>
        </is>
      </c>
      <c r="Q16" s="7" t="inlineStr">
        <is>
          <t>Выяснить смысл у владельца справочника; при отсутствии различий — объединить с «без авто».</t>
        </is>
      </c>
      <c r="R16" s="7" t="inlineStr">
        <is>
          <t>MVP (после ответа владельца)</t>
        </is>
      </c>
      <c r="S16" s="5" t="inlineStr">
        <is>
          <t>высокая</t>
        </is>
      </c>
    </row>
    <row r="17">
      <c r="A17" s="5" t="n">
        <v>16</v>
      </c>
      <c r="B17" s="6" t="inlineStr">
        <is>
          <t>other</t>
        </is>
      </c>
      <c r="C17" s="7" t="inlineStr">
        <is>
          <t>Другое</t>
        </is>
      </c>
      <c r="D17" s="7" t="inlineStr">
        <is>
          <t>«Свалка»: обращения, у которых нет собственного типа (акт обследования, акт сверки, разделение врезки).</t>
        </is>
      </c>
      <c r="E17" s="7" t="inlineStr">
        <is>
          <t>— (слов нет)</t>
        </is>
      </c>
      <c r="F17" s="7" t="inlineStr">
        <is>
          <t>Слов нет и не будет: тип — исход по умолчанию, когда ничего не нашлось.</t>
        </is>
      </c>
      <c r="G17" s="7" t="inlineStr">
        <is>
          <t>Нет</t>
        </is>
      </c>
      <c r="H17" s="5" t="n">
        <v>0</v>
      </c>
      <c r="I17" s="5" t="n">
        <v>9</v>
      </c>
      <c r="J17" s="5" t="n">
        <v>0</v>
      </c>
      <c r="K17" s="9">
        <f>IF(I17=0,"—",J17/I17)</f>
        <v/>
      </c>
      <c r="L17" s="5" t="n">
        <v>0</v>
      </c>
      <c r="M17" s="5" t="n">
        <v>1</v>
      </c>
      <c r="N17" s="13" t="inlineStr">
        <is>
          <t>Не классифицируется (исход по умолчанию)</t>
        </is>
      </c>
      <c r="O17" s="7" t="inlineStr">
        <is>
          <t>Исход по умолчанию, когда правила и k-NN молчат.</t>
        </is>
      </c>
      <c r="P17" s="7" t="inlineStr">
        <is>
          <t>Состав «Другого» не разобран: там лежат обращения, у которых есть собственный тип.</t>
        </is>
      </c>
      <c r="Q17" s="7" t="inlineStr">
        <is>
          <t>Разобрать состав «Другого» на живых данных; при необходимости предложить владельцу новые типы.</t>
        </is>
      </c>
      <c r="R17" s="7" t="inlineStr">
        <is>
          <t>MVP (разбор состава)</t>
        </is>
      </c>
      <c r="S17" s="5" t="inlineStr">
        <is>
          <t>средняя</t>
        </is>
      </c>
    </row>
    <row r="18">
      <c r="A18" s="5" t="n">
        <v>17</v>
      </c>
      <c r="B18" s="6" t="inlineStr">
        <is>
          <t>emergency</t>
        </is>
      </c>
      <c r="C18" s="7" t="inlineStr">
        <is>
          <t>Авария</t>
        </is>
      </c>
      <c r="D18" s="7" t="inlineStr">
        <is>
          <t>Аварийная заявка. В справочнике обращений её нет: аварии ведутся в Диспетчерской.</t>
        </is>
      </c>
      <c r="E18" s="7" t="inlineStr">
        <is>
          <t>«авари», «прорыв», «утечк», «порыв», «затоп», «нет воды»</t>
        </is>
      </c>
      <c r="F18" s="7" t="inlineStr">
        <is>
          <t>«авари», «прорыв», «утечк», «порыв», «затоп», «нет воды»; в выгрузке обращений аварий нет, слова заведены по смыслу.</t>
        </is>
      </c>
      <c r="G18" s="7" t="inlineStr">
        <is>
          <t>Другой маршрут — Диспетчерская (Этап 2)</t>
        </is>
      </c>
      <c r="H18" s="5" t="n">
        <v>0</v>
      </c>
      <c r="I18" s="5" t="n">
        <v>0</v>
      </c>
      <c r="J18" s="5" t="n">
        <v>0</v>
      </c>
      <c r="K18" s="9">
        <f>IF(I18=0,"—",J18/I18)</f>
        <v/>
      </c>
      <c r="L18" s="5" t="n">
        <v>0</v>
      </c>
      <c r="M18" s="5" t="n">
        <v>0</v>
      </c>
      <c r="N18" s="14" t="inlineStr">
        <is>
          <t>Отдельный маршрут: правила есть, k-NN нет</t>
        </is>
      </c>
      <c r="O18" s="7" t="inlineStr">
        <is>
          <t>Ключевые слова; ассистент отказывается регистрировать такую заявку как обращение и не выдумывает ответ.</t>
        </is>
      </c>
      <c r="P18" s="7" t="inlineStr">
        <is>
          <t>Слова не проверены на данных Диспетчерской; тип не входит в справочник обращений.</t>
        </is>
      </c>
      <c r="Q18" s="7" t="inlineStr">
        <is>
          <t>Расширить слова по данным Диспетчерской.</t>
        </is>
      </c>
      <c r="R18" s="7" t="inlineStr">
        <is>
          <t>Этап 2 (запись аварийной заявки через API Диспетчерской)</t>
        </is>
      </c>
      <c r="S18" s="5" t="inlineStr">
        <is>
          <t>средняя</t>
        </is>
      </c>
    </row>
    <row r="20">
      <c r="B20" s="6" t="inlineStr">
        <is>
          <t>Итого</t>
        </is>
      </c>
      <c r="H20" s="15">
        <f>SUM(H2:H18)</f>
        <v/>
      </c>
      <c r="I20" s="15">
        <f>SUM(I2:I18)</f>
        <v/>
      </c>
      <c r="J20" s="15">
        <f>SUM(J2:J18)</f>
        <v/>
      </c>
      <c r="K20" s="16">
        <f>J20/I20</f>
        <v/>
      </c>
      <c r="L20" s="15">
        <f>SUM(L2:L18)</f>
        <v/>
      </c>
      <c r="M20" s="15">
        <f>SUM(M2:M18)</f>
        <v/>
      </c>
    </row>
    <row r="22" ht="62" customHeight="1">
      <c r="B22" s="17" t="inlineStr">
        <is>
          <t>Цифры считаны по 136 настоящим обращениям (`fixtures/inquiries_voronezh.csv`, ПДн замаскированы; по 9 на тип, у одного типа — 1). Слова подбирались на двух третях этих же текстов, поэтому цифры выше настоящих: на отложенной трети общий охват 75%, точность там, где сигнал есть, 65%. Метка типа в выгрузке поставлена оператором, который знал больше, чем написано в тексте, — это не разметка текста.</t>
        </is>
      </c>
    </row>
    <row r="24">
      <c r="B24" s="18" t="inlineStr">
        <is>
          <t>Цвет ячейки «Проработка»</t>
        </is>
      </c>
    </row>
    <row r="25">
      <c r="B25" s="19" t="n"/>
      <c r="C25" s="20" t="inlineStr">
        <is>
          <t>правила + запасной k-NN</t>
        </is>
      </c>
    </row>
    <row r="26">
      <c r="B26" s="21" t="n"/>
      <c r="C26" s="20" t="inlineStr">
        <is>
          <t>правила слабые, держится на k-NN</t>
        </is>
      </c>
    </row>
    <row r="27">
      <c r="B27" s="22" t="n"/>
      <c r="C27" s="20" t="inlineStr">
        <is>
          <t>только правила</t>
        </is>
      </c>
    </row>
    <row r="28">
      <c r="B28" s="23" t="n"/>
      <c r="C28" s="20" t="inlineStr">
        <is>
          <t>по тексту не выводится / данных нет</t>
        </is>
      </c>
    </row>
    <row r="29">
      <c r="B29" s="24" t="n"/>
      <c r="C29" s="20" t="inlineStr">
        <is>
          <t>отдельный маршрут (не справочник обращений)</t>
        </is>
      </c>
    </row>
    <row r="30">
      <c r="B30" s="25" t="n"/>
      <c r="C30" s="20" t="inlineStr">
        <is>
          <t>исход по умолчанию</t>
        </is>
      </c>
    </row>
  </sheetData>
  <autoFilter ref="A1:S18"/>
  <mergeCells count="1">
    <mergeCell ref="B22:G2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38" customWidth="1" min="4" max="4"/>
    <col width="40" customWidth="1" min="5" max="5"/>
    <col width="60" customWidth="1" min="6" max="6"/>
    <col width="11" customWidth="1" min="7" max="7"/>
    <col width="18" customWidth="1" min="8" max="8"/>
    <col width="28" customWidth="1" min="9" max="9"/>
    <col width="40" customWidth="1" min="10" max="10"/>
    <col width="40" customWidth="1" min="11" max="11"/>
    <col width="24" customWidth="1" min="12" max="12"/>
  </cols>
  <sheetData>
    <row r="1" ht="58" customHeight="1">
      <c r="A1" s="4" t="inlineStr">
        <is>
          <t>№</t>
        </is>
      </c>
      <c r="B1" s="4" t="inlineStr">
        <is>
          <t>Код</t>
        </is>
      </c>
      <c r="C1" s="4" t="inlineStr">
        <is>
          <t>Название</t>
        </is>
      </c>
      <c r="D1" s="4" t="inlineStr">
        <is>
          <t>Что это за вопрос</t>
        </is>
      </c>
      <c r="E1" s="4" t="inlineStr">
        <is>
          <t>Как отвечает ассистент</t>
        </is>
      </c>
      <c r="F1" s="4" t="inlineStr">
        <is>
          <t>Признаки (правила)</t>
        </is>
      </c>
      <c r="G1" s="4" t="inlineStr">
        <is>
          <t>Примеров для запасного k-NN</t>
        </is>
      </c>
      <c r="H1" s="4" t="inlineStr">
        <is>
          <t>Наблюдалось в 136 настоящих обращениях</t>
        </is>
      </c>
      <c r="I1" s="4" t="inlineStr">
        <is>
          <t>Проработка</t>
        </is>
      </c>
      <c r="J1" s="4" t="inlineStr">
        <is>
          <t>Что осталось / проблема</t>
        </is>
      </c>
      <c r="K1" s="4" t="inlineStr">
        <is>
          <t>Что делаем на MVP</t>
        </is>
      </c>
      <c r="L1" s="4" t="inlineStr">
        <is>
          <t>На каком этапе</t>
        </is>
      </c>
    </row>
    <row r="2">
      <c r="A2" s="5" t="n">
        <v>1</v>
      </c>
      <c r="B2" s="6" t="inlineStr">
        <is>
          <t>general</t>
        </is>
      </c>
      <c r="C2" s="7" t="inlineStr">
        <is>
          <t>Общий вопрос</t>
        </is>
      </c>
      <c r="D2" s="7" t="inlineStr">
        <is>
          <t>Обычный вопрос, для которого нет особого пути. Исход по умолчанию.</t>
        </is>
      </c>
      <c r="E2" s="7" t="inlineStr">
        <is>
          <t>Поиск по базе знаний, затем ответ модели с источниками; при слабом контексте — честный отказ.</t>
        </is>
      </c>
      <c r="F2" s="7" t="inlineStr">
        <is>
          <t>Признаков нет: тема выбирается, когда ни одна другая не подошла.</t>
        </is>
      </c>
      <c r="G2" s="5" t="inlineStr">
        <is>
          <t>—</t>
        </is>
      </c>
      <c r="H2" s="7" t="inlineStr">
        <is>
          <t>—</t>
        </is>
      </c>
      <c r="I2" s="13" t="inlineStr">
        <is>
          <t>Исход по умолчанию</t>
        </is>
      </c>
      <c r="J2" s="7" t="inlineStr">
        <is>
          <t>Качество ответа не измерено на эталонном наборе (только выборочные замеры поиска).</t>
        </is>
      </c>
      <c r="K2" s="7" t="inlineStr">
        <is>
          <t>Собрать эталонный набор по живым обращениям и измерить ответы; определить долю вопросов, уходящих в эту тему.</t>
        </is>
      </c>
      <c r="L2" s="7" t="inlineStr">
        <is>
          <t>MVP</t>
        </is>
      </c>
    </row>
    <row r="3">
      <c r="A3" s="5" t="n">
        <v>2</v>
      </c>
      <c r="B3" s="6" t="inlineStr">
        <is>
          <t>outage</t>
        </is>
      </c>
      <c r="C3" s="7" t="inlineStr">
        <is>
          <t>Отключение воды</t>
        </is>
      </c>
      <c r="D3" s="7" t="inlineStr">
        <is>
          <t>Абонент спрашивает об отсутствии воды или когда её включат.</t>
        </is>
      </c>
      <c r="E3" s="7" t="inlineStr">
        <is>
          <t>Точный поиск по графику плановых отключений (1939 записей), без модели.</t>
        </is>
      </c>
      <c r="F3" s="7" t="inlineStr">
        <is>
          <t>Подстроки (`TOPIC_MARKERS`): «нет воды», «нет холодной воды», «нет горячей воды», «отключили воду», «отключение воды», «отключения воды», «когда включат», «когда дадут воду», «отсутствует водоснабжение». Слово «авария» не входит намеренно: даёт чужие срабатывания (вопрос про прибор учёта).</t>
        </is>
      </c>
      <c r="G3" s="5" t="n">
        <v>7</v>
      </c>
      <c r="H3" s="7" t="inlineStr">
        <is>
          <t>Да (под типом «Другое»: «неделю нет холодной воды»)</t>
        </is>
      </c>
      <c r="I3" s="8" t="inlineStr">
        <is>
          <t>Правила + запасной k-NN</t>
        </is>
      </c>
      <c r="J3" s="7" t="inlineStr">
        <is>
          <t>Слова — по формам вопроса; вопросы об отключении в выгрузке редки.</t>
        </is>
      </c>
      <c r="K3" s="7" t="inlineStr">
        <is>
          <t>Проверить на живых обращениях; заменить график на API Диспетчерской.</t>
        </is>
      </c>
      <c r="L3" s="7" t="inlineStr">
        <is>
          <t>MVP (проверка); данные — Этап 2</t>
        </is>
      </c>
    </row>
    <row r="4">
      <c r="A4" s="5" t="n">
        <v>3</v>
      </c>
      <c r="B4" s="6" t="inlineStr">
        <is>
          <t>water_quality</t>
        </is>
      </c>
      <c r="C4" s="7" t="inlineStr">
        <is>
          <t>Качество воды</t>
        </is>
      </c>
      <c r="D4" s="7" t="inlineStr">
        <is>
          <t>Вопрос о свойствах воды: запах, цвет, муть, ржавчина.</t>
        </is>
      </c>
      <c r="E4" s="7" t="inlineStr">
        <is>
          <t>Регламентная формулировка дословно, без модели (текст не утверждён владельцем).</t>
        </is>
      </c>
      <c r="F4" s="7" t="inlineStr">
        <is>
          <t>Подстроки: «качество воды», «качества воды», «цвет воды», «мутная вода», «мутную воду», «ржавая вода», «запах воды», «вода с запахом». Пары «вода + свойство» (регулярные выражения): качество…вода, вода…запах/привкус/мутн/ржав/осадок/хлор/цвет и обратный порядок.</t>
        </is>
      </c>
      <c r="G4" s="5" t="n">
        <v>6</v>
      </c>
      <c r="H4" s="7" t="inlineStr">
        <is>
          <t>Нет (0 из 136)</t>
        </is>
      </c>
      <c r="I4" s="11" t="inlineStr">
        <is>
          <t>Правила + запасной k-NN; слова — предположение</t>
        </is>
      </c>
      <c r="J4" s="7" t="inlineStr">
        <is>
          <t>Наблюдённого словаря нет; текст ответа не утверждён владельцем.</t>
        </is>
      </c>
      <c r="K4" s="7" t="inlineStr">
        <is>
          <t>Собрать наблюдения на живых данных; получить утверждённый текст у владельца.</t>
        </is>
      </c>
      <c r="L4" s="7" t="inlineStr">
        <is>
          <t>MVP (данные и текст — по ответу владельца)</t>
        </is>
      </c>
    </row>
    <row r="5">
      <c r="A5" s="5" t="n">
        <v>4</v>
      </c>
      <c r="B5" s="6" t="inlineStr">
        <is>
          <t>tariff</t>
        </is>
      </c>
      <c r="C5" s="7" t="inlineStr">
        <is>
          <t>Тариф</t>
        </is>
      </c>
      <c r="D5" s="7" t="inlineStr">
        <is>
          <t>Вопрос о цене куба воды.</t>
        </is>
      </c>
      <c r="E5" s="7" t="inlineStr">
        <is>
          <t>Таблица тарифов (19 периодов), без модели.</t>
        </is>
      </c>
      <c r="F5" s="7" t="inlineStr">
        <is>
          <t>Регулярные выражения: «какой тариф», «тариф на воду/куб», «сколько стоит/цена … куб», «руб за куб». Узкие намеренно: слово «тариф» одно уводило бы «прошу пересчитать тариф».</t>
        </is>
      </c>
      <c r="G5" s="5" t="n">
        <v>6</v>
      </c>
      <c r="H5" s="7" t="inlineStr">
        <is>
          <t>Нет (0 из 136)</t>
        </is>
      </c>
      <c r="I5" s="11" t="inlineStr">
        <is>
          <t>Правила + запасной k-NN; слова — предположение</t>
        </is>
      </c>
      <c r="J5" s="7" t="inlineStr">
        <is>
          <t>Наблюдённого словаря нет.</t>
        </is>
      </c>
      <c r="K5" s="7" t="inlineStr">
        <is>
          <t>Собрать наблюдения на живых данных, пересобрать слова по частотности.</t>
        </is>
      </c>
      <c r="L5" s="7" t="inlineStr">
        <is>
          <t>MVP</t>
        </is>
      </c>
    </row>
    <row r="6">
      <c r="A6" s="5" t="n">
        <v>5</v>
      </c>
      <c r="B6" s="6" t="inlineStr">
        <is>
          <t>account</t>
        </is>
      </c>
      <c r="C6" s="7" t="inlineStr">
        <is>
          <t>Лицевой счёт</t>
        </is>
      </c>
      <c r="D6" s="7" t="inlineStr">
        <is>
          <t>Запрос факта о своём лицевом счёте: долг, начисления, срок поверки, показания.</t>
        </is>
      </c>
      <c r="E6" s="7" t="inlineStr">
        <is>
          <t>Данные абонента из Биллинга (слепок на прототипе), без модели; спор отсекается отдельно.</t>
        </is>
      </c>
      <c r="F6" s="7" t="inlineStr">
        <is>
          <t>Регулярные выражения (14): «сколько/какая … долг», «мой долг», «сколько к оплате», «сколько/что начислено», «за что начислено», «когда … поверка», «межповерочный», «какие показания» и т. п. Форма вопроса о числе, а не упоминание предмета.</t>
        </is>
      </c>
      <c r="G6" s="5" t="n">
        <v>7</v>
      </c>
      <c r="H6" s="7" t="inlineStr">
        <is>
          <t>Нет как запрос факта (вопросы о долге — почти всегда споры)</t>
        </is>
      </c>
      <c r="I6" s="11" t="inlineStr">
        <is>
          <t>Правила + запасной k-NN; слова — предположение</t>
        </is>
      </c>
      <c r="J6" s="7" t="inlineStr">
        <is>
          <t>На живых данных доля таких запросов неизвестна.</t>
        </is>
      </c>
      <c r="K6" s="7" t="inlineStr">
        <is>
          <t>Собрать наблюдения; заменить слепок Биллинга на XML-RPC API.</t>
        </is>
      </c>
      <c r="L6" s="7" t="inlineStr">
        <is>
          <t>MVP (данные — через API владельца)</t>
        </is>
      </c>
    </row>
    <row r="7">
      <c r="A7" s="5" t="n">
        <v>6</v>
      </c>
      <c r="B7" s="6" t="inlineStr">
        <is>
          <t>template</t>
        </is>
      </c>
      <c r="C7" s="7" t="inlineStr">
        <is>
          <t>Бланк заявления</t>
        </is>
      </c>
      <c r="D7" s="7" t="inlineStr">
        <is>
          <t>Просьба дать бланк заявления (не оформить обращение, а получить форму).</t>
        </is>
      </c>
      <c r="E7" s="7" t="inlineStr">
        <is>
          <t>Готовый бланк из семи образцов (ПП РФ № 644/776) со слотами; печать, без модели.</t>
        </is>
      </c>
      <c r="F7" s="7" t="inlineStr">
        <is>
          <t>Слова «бланк, шаблон, образец, форма, распечатать» рядом со словами «заявление, обращение, договор, документ» либо со словами «на поверку, опломбировку, справку, обследование…».</t>
        </is>
      </c>
      <c r="G7" s="5" t="n">
        <v>10</v>
      </c>
      <c r="H7" s="7" t="inlineStr">
        <is>
          <t>Частично (заявки на поверку и др. встречаются, вопрос «дай бланк» — нет)</t>
        </is>
      </c>
      <c r="I7" s="8" t="inlineStr">
        <is>
          <t>Правила + запасной k-NN</t>
        </is>
      </c>
      <c r="J7" s="7" t="inlineStr">
        <is>
          <t>Бланки — образцы, настоящие бланки владелец не передал.</t>
        </is>
      </c>
      <c r="K7" s="7" t="inlineStr">
        <is>
          <t>Заменить образцы настоящими бланками; проверить формулировки на живых данных.</t>
        </is>
      </c>
      <c r="L7" s="7" t="inlineStr">
        <is>
          <t>MVP (после получения бланков)</t>
        </is>
      </c>
    </row>
    <row r="9" ht="48" customHeight="1">
      <c r="B9" s="26" t="inlineStr">
        <is>
          <t>Тема определяется раньше типа. Порядок: переданное в запросе → правила → запасной k-NN по эмбеддингам → «Общий вопрос». Пороги k-NN подобраны на прототипе (тема 0,90 / разрыв 0,05; тип 0,85 / разрыв 0,03) и не переносятся на другую модель.</t>
        </is>
      </c>
    </row>
  </sheetData>
  <mergeCells count="1">
    <mergeCell ref="B9:F9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2" customWidth="1" min="4" max="4"/>
    <col width="12" customWidth="1" min="5" max="5"/>
    <col width="46" customWidth="1" min="6" max="6"/>
    <col width="60" customWidth="1" min="7" max="7"/>
  </cols>
  <sheetData>
    <row r="1" ht="34" customHeight="1">
      <c r="A1" s="4" t="inlineStr">
        <is>
          <t>№</t>
        </is>
      </c>
      <c r="B1" s="4" t="inlineStr">
        <is>
          <t>Работа</t>
        </is>
      </c>
      <c r="C1" s="4" t="inlineStr">
        <is>
          <t>Мин, чел-дн</t>
        </is>
      </c>
      <c r="D1" s="4" t="inlineStr">
        <is>
          <t>Макс, чел-дн</t>
        </is>
      </c>
      <c r="E1" s="4" t="inlineStr">
        <is>
          <t>Контур</t>
        </is>
      </c>
      <c r="F1" s="4" t="inlineStr">
        <is>
          <t>Где учтено в Tech_Stack_Matrix</t>
        </is>
      </c>
      <c r="G1" s="4" t="inlineStr">
        <is>
          <t>Комментарий</t>
        </is>
      </c>
    </row>
    <row r="2">
      <c r="A2" s="5" t="n">
        <v>1</v>
      </c>
      <c r="B2" s="7" t="inlineStr">
        <is>
          <t>Получить выгрузку живых обращений (не менее 100 на тип, около 1 500–2 000 текстов), обезличить фильтром ПДн, загрузить</t>
        </is>
      </c>
      <c r="C2" s="5" t="n">
        <v>2</v>
      </c>
      <c r="D2" s="5" t="n">
        <v>3</v>
      </c>
      <c r="E2" s="5" t="inlineStr">
        <is>
          <t>MVP</t>
        </is>
      </c>
      <c r="F2" s="7" t="inlineStr">
        <is>
          <t>Строка «Анализ типов на живых данных» (новая)</t>
        </is>
      </c>
      <c r="G2" s="7" t="inlineStr">
        <is>
          <t>Календарный срок зависит от владельца выгрузки.</t>
        </is>
      </c>
    </row>
    <row r="3">
      <c r="A3" s="5" t="n">
        <v>2</v>
      </c>
      <c r="B3" s="7" t="inlineStr">
        <is>
          <t>Разметить эталонный набор и проанализировать все 16 типов и 6 тем: слова, пересечения, «спор против заявки», тип-статус против типа-темы</t>
        </is>
      </c>
      <c r="C3" s="5" t="n">
        <v>8</v>
      </c>
      <c r="D3" s="5" t="n">
        <v>12</v>
      </c>
      <c r="E3" s="5" t="inlineStr">
        <is>
          <t>MVP</t>
        </is>
      </c>
      <c r="F3" s="7" t="inlineStr">
        <is>
          <t>Строка «Анализ типов на живых данных» (новая)</t>
        </is>
      </c>
      <c r="G3" s="7" t="inlineStr">
        <is>
          <t>Двойная разметка на части набора, чтобы измерить согласие.</t>
        </is>
      </c>
    </row>
    <row r="4">
      <c r="A4" s="5" t="n">
        <v>3</v>
      </c>
      <c r="B4" s="7" t="inlineStr">
        <is>
          <t>Заново собрать таблицу типов и тем: слова, примеры k-NN, проработка, этап (этот файл)</t>
        </is>
      </c>
      <c r="C4" s="5" t="n">
        <v>3</v>
      </c>
      <c r="D4" s="5" t="n">
        <v>4</v>
      </c>
      <c r="E4" s="5" t="inlineStr">
        <is>
          <t>MVP</t>
        </is>
      </c>
      <c r="F4" s="7" t="inlineStr">
        <is>
          <t>Строка «Анализ типов на живых данных» (новая)</t>
        </is>
      </c>
      <c r="G4" s="7" t="inlineStr">
        <is>
          <t>Сюда же — решения: какие типы классифицируем, какие исключаем.</t>
        </is>
      </c>
    </row>
    <row r="5">
      <c r="A5" s="5" t="n">
        <v>4</v>
      </c>
      <c r="B5" s="7" t="inlineStr">
        <is>
          <t>Выбор модели эмбеддингов для MVP: сравнить кандидатов (e5-small, BGE-M3 и др.) по качеству на размеченном наборе, подобрать пороги k-NN</t>
        </is>
      </c>
      <c r="C5" s="5" t="n">
        <v>3</v>
      </c>
      <c r="D5" s="5" t="n">
        <v>4</v>
      </c>
      <c r="E5" s="5" t="inlineStr">
        <is>
          <t>MVP</t>
        </is>
      </c>
      <c r="F5" s="7" t="inlineStr">
        <is>
          <t>Строка «Эмбеддинги» (из блока «Качество поиска и классификации» ADR-600)</t>
        </is>
      </c>
      <c r="G5" s="7" t="inlineStr">
        <is>
          <t>Уже учтено в ADR-600 — здесь не суммируется повторно.</t>
        </is>
      </c>
    </row>
    <row r="6">
      <c r="A6" s="5" t="n">
        <v>5</v>
      </c>
      <c r="B6" s="7" t="inlineStr">
        <is>
          <t>Расширение запасного классификатора на оставшиеся типы</t>
        </is>
      </c>
      <c r="C6" s="5" t="n">
        <v>3</v>
      </c>
      <c r="D6" s="5" t="n">
        <v>5</v>
      </c>
      <c r="E6" s="5" t="inlineStr">
        <is>
          <t>MVP</t>
        </is>
      </c>
      <c r="F6" s="7" t="inlineStr">
        <is>
          <t>Строка «Классификатор обращений (Triage)» (из блока «Качество поиска и классификации» ADR-600)</t>
        </is>
      </c>
      <c r="G6" s="7" t="inlineStr">
        <is>
          <t>Уже учтено в ADR-600 — здесь не суммируется повторно.</t>
        </is>
      </c>
    </row>
    <row r="7">
      <c r="A7" s="5" t="n">
        <v>6</v>
      </c>
      <c r="B7" s="7" t="inlineStr">
        <is>
          <t>Повторное решение по моделям для тиража: проверить модель MVP при нагрузке тиража, при необходимости пересчитать пороги и sizing</t>
        </is>
      </c>
      <c r="C7" s="5" t="n">
        <v>2</v>
      </c>
      <c r="D7" s="5" t="n">
        <v>3</v>
      </c>
      <c r="E7" s="5" t="inlineStr">
        <is>
          <t>Тираж</t>
        </is>
      </c>
      <c r="F7" s="7" t="inlineStr">
        <is>
          <t>Строка «Анализ типов на живых данных» (новая), колонка «Тираж»</t>
        </is>
      </c>
      <c r="G7" s="7" t="inlineStr">
        <is>
          <t>Делается после набора живой статистики на MVP.</t>
        </is>
      </c>
    </row>
    <row r="9">
      <c r="B9" s="6" t="inlineStr">
        <is>
          <t>Новая работа (строка в матрице), MVP</t>
        </is>
      </c>
      <c r="C9" s="15">
        <f>SUM(C2:C4)</f>
        <v/>
      </c>
      <c r="D9" s="15">
        <f>SUM(D2:D4)</f>
        <v/>
      </c>
    </row>
    <row r="10">
      <c r="B10" s="6" t="inlineStr">
        <is>
          <t>Новая работа, тираж</t>
        </is>
      </c>
      <c r="C10" s="15">
        <f>C7</f>
        <v/>
      </c>
      <c r="D10" s="15">
        <f>D7</f>
        <v/>
      </c>
    </row>
    <row r="11">
      <c r="B11" s="6" t="inlineStr">
        <is>
          <t>Весь пакет анализа на MVP, включая уже учтённые в ADR-600 (строки 4–5)</t>
        </is>
      </c>
      <c r="C11" s="15">
        <f>SUM(C2:C6)</f>
        <v/>
      </c>
      <c r="D11" s="15">
        <f>SUM(D2:D6)</f>
        <v/>
      </c>
    </row>
    <row r="13">
      <c r="B13" s="27" t="inlineStr">
        <is>
          <t>Оценки — автора таблицы, в проекте они нигде не подтверждены. Единица — человеко-день, 1 неделя = 5 чел-дн.</t>
        </is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2026-09-24T11:08:19Z</dcterms:created>
  <dcterms:modified xmlns:dcterms="http://purl.org/dc/terms/" xmlns:xsi="http://www.w3.org/2001/XMLSchema-instance" xsi:type="dcterms:W3CDTF">2026-09-24T11:08:19Z</dcterms:modified>
</cp:coreProperties>
</file>