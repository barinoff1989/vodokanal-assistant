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Сравнения нет — причина выбора для прототипа записана в ADR-100 («Что сдано») и в примечании C3/C4_L3_Widget.html; выбор React/TS для MVP не сравнивался, он указан в C4_Deployment.html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эмбеддингах BGE-M3 (GPU) — тем же эмбеддером, что и поиск.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10</v>
      </c>
      <c r="N5" s="17" t="n">
        <v>15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BGE-M3.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H7" s="9" t="inlineStr">
        <is>
          <t>Сравнения нет — состав и правило «ПДн не покидают периметр» — ADR-400, раздел «Закрыто сейчас»; сравнение вариантов обезличивания в пакет не входит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14" t="inlineStr">
        <is>
          <t>Без изменений</t>
        </is>
      </c>
      <c r="K7" s="15" t="n"/>
      <c r="L7" s="15" t="n"/>
      <c r="M7" s="16" t="n"/>
      <c r="N7" s="16" t="n"/>
      <c r="O7" s="15" t="n"/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H8" s="9" t="inlineStr">
        <is>
          <t>ADR-300, раздел 5 «Судья качества ответа» (модели судьи); проверки на потоке — сравнения нет</t>
        </is>
      </c>
      <c r="I8" s="9" t="inlineStr">
        <is>
          <t>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калибровка порогов.</t>
        </is>
      </c>
      <c r="K8" s="9" t="inlineStr">
        <is>
          <t>YandexGPT как судья при GigaChat Pro в роли отвечающей модели.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2</v>
      </c>
      <c r="N8" s="17" t="n">
        <v>3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3</v>
      </c>
      <c r="N10" s="17" t="n">
        <v>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</t>
        </is>
      </c>
      <c r="H11" s="9" t="inlineStr">
        <is>
          <t>ADR-300, раздел 3 «Переранжирование»;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2</v>
      </c>
      <c r="N11" s="17" t="n">
        <v>3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«Хранилища»: строка «Векторный поиск (целевое)» (pgvector, Milvus)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Сравнения нет — довод «не Feast/Tecton» записан в Data_Flow_Diagrams.html, страница 1, блок «Кэш профиля абонента»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H14" s="9" t="inlineStr">
        <is>
          <t>ADR-200, раздел «Хранилища»: строка «Состояние сессии, квоты» (счётчики в памяти без Redis отклонены)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Одна база вместо двух на объёме одного стенда.</t>
        </is>
      </c>
      <c r="H15" s="9" t="inlineStr">
        <is>
          <t>Сравнения нет — роль базы записана в ADR-200 («Хранилища») и ADR-100 (таблица «упрощённая замена»); сравнение СУБД в пакет не входит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с первого дня — вторая СУБД ради объёма одного стенда.</t>
        </is>
      </c>
      <c r="H16" s="9" t="inlineStr">
        <is>
          <t>ADR-200, раздел «Хранилища»: строки «Телеметрия»; ADR-100, таблица «упрощённая замена»; сравнения ClickHouse с другими аналитическими базами нет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Airflow отклонён: для редких некритичных по задержке обновлений хватает планировщика (Celery Beat / CronJob).</t>
        </is>
      </c>
      <c r="H17" s="9" t="inlineStr">
        <is>
          <t>Сравнения нет — довод «планировщик под редкие обновления» записан в Data_Flow_Diagrams.html, страница 1, блок «ETL Worker — Ingest», «без Airflow» — в блоке «K8s CronJob» той же страницы; окно запуска — C4_Deployment.html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Сравнения нет — способ доступа задан ограничением «только через API владельца» — ADR-400 («Закрыто сейчас»), ADR-100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Сравнения нет — путь описан в ADR-100 (таблица «Что явно отложено»)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Сравнения нет — путь описан в ADR-100 (таблица «Что явно отложено»); библиотека PDF не выбрана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Сравнение не проводилось: инструменты взяты в составе целевой схемы развёртывания.</t>
        </is>
      </c>
      <c r="H24" s="9" t="inlineStr">
        <is>
          <t>Сравнения нет — состав MVP зафиксирован в C4_Deployment.html; выбор инструментов не оформлялся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Сравнение не проводилось: протокол задан контрактом API, потоковая выдача — требованием проекта.</t>
        </is>
      </c>
      <c r="H25" s="9" t="inlineStr">
        <is>
          <t>Сравнения нет — контракт описан в API_Spec.yaml; поток ответа обязателен (ADR-100)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Сравнения нет — интеграция не начата: ADR-400, раздел «Не входит в объём Этапа 1»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Сравнения нет — способ доступа задан ограничением «только через API владельца» — ADR-400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Сравнения нет — способ доступа задан ограничением «только через API владельца» — ADR-400; ADR-100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Вариант доступа не сравнивался: клиент — штатный для выбранной базы.</t>
        </is>
      </c>
      <c r="H30" s="9" t="inlineStr">
        <is>
          <t>ADR-200, раздел «Хранилища»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Способ переиндексации не сравнивался с другими: выбран режим без остановки поиска.</t>
        </is>
      </c>
      <c r="H32" s="9" t="inlineStr">
        <is>
          <t>ADR-200, раздел «Хранилища» (Qdrant: переиндексация без остановки поиска)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Сравнения нет — расчёт — Capacity_Report.html;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Сравнения нет —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Сравнения нет —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9">
      <c r="C39" s="25" t="inlineStr">
        <is>
          <t>Цвет ячеек с оценкой:</t>
        </is>
      </c>
    </row>
    <row r="40">
      <c r="C40" s="26" t="n"/>
      <c r="D40" s="27" t="inlineStr">
        <is>
          <t>цифра прямо из ADR-600</t>
        </is>
      </c>
    </row>
    <row r="41">
      <c r="C41" s="28" t="n"/>
      <c r="D41" s="27" t="inlineStr">
        <is>
          <t>цифра блока ADR-600 (или его доля, распределённая автором) — подтвердить</t>
        </is>
      </c>
    </row>
    <row r="42">
      <c r="C42" s="29" t="n"/>
      <c r="D42" s="27" t="inlineStr">
        <is>
          <t>в ADR-600 нет, оценка автора — подтвердить</t>
        </is>
      </c>
    </row>
    <row r="43">
      <c r="C43" s="30" t="n"/>
      <c r="D43" s="27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SUM('Матрица'!$M$3:$M$37)</f>
        <v/>
      </c>
      <c r="C5" s="33">
        <f>SUM('Матрица'!$N$3:$N$37)</f>
        <v/>
      </c>
      <c r="D5" s="33">
        <f>B5/5</f>
        <v/>
      </c>
      <c r="E5" s="33">
        <f>C5/5</f>
        <v/>
      </c>
      <c r="F5" s="34">
        <f>SUMIF('Матрица'!$O$3:$O$37,"ADR-600",'Матрица'!$M$3:$M$37)</f>
        <v/>
      </c>
      <c r="G5" s="34">
        <f>SUMIF('Матрица'!$O$3:$O$37,"ADR-600",'Матрица'!$N$3:$N$37)</f>
        <v/>
      </c>
      <c r="H5" s="35">
        <f>SUMIF('Матрица'!$O$3:$O$37,"Из блока*",'Матрица'!$M$3:$M$37)</f>
        <v/>
      </c>
      <c r="I5" s="35">
        <f>SUMIF('Матрица'!$O$3:$O$37,"Из блока*",'Матрица'!$N$3:$N$37)</f>
        <v/>
      </c>
      <c r="J5" s="36">
        <f>SUMIF('Матрица'!$O$3:$O$37,"Оценка автора",'Матрица'!$M$3:$M$37)</f>
        <v/>
      </c>
      <c r="K5" s="36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3">
        <f>SUM('Матрица'!$S$3:$S$37)</f>
        <v/>
      </c>
      <c r="C6" s="33">
        <f>SUM('Матрица'!$T$3:$T$37)</f>
        <v/>
      </c>
      <c r="D6" s="33">
        <f>B6/5</f>
        <v/>
      </c>
      <c r="E6" s="33">
        <f>C6/5</f>
        <v/>
      </c>
      <c r="F6" s="34">
        <f>SUMIF('Матрица'!$U$3:$U$37,"ADR-600",'Матрица'!$S$3:$S$37)</f>
        <v/>
      </c>
      <c r="G6" s="34">
        <f>SUMIF('Матрица'!$U$3:$U$37,"ADR-600",'Матрица'!$T$3:$T$37)</f>
        <v/>
      </c>
      <c r="H6" s="35">
        <f>SUMIF('Матрица'!$U$3:$U$37,"Из блока*",'Матрица'!$S$3:$S$37)</f>
        <v/>
      </c>
      <c r="I6" s="35">
        <f>SUMIF('Матрица'!$U$3:$U$37,"Из блока*",'Матрица'!$T$3:$T$37)</f>
        <v/>
      </c>
      <c r="J6" s="36">
        <f>SUMIF('Матрица'!$U$3:$U$37,"Оценка автора",'Матрица'!$S$3:$S$37)</f>
        <v/>
      </c>
      <c r="K6" s="36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SUMIF('Матрица'!$O$3:$O$37,"Из блока ADR-600: P0",'Матрица'!$M$3:$M$37)</f>
        <v/>
      </c>
      <c r="E15" s="33">
        <f>SUMIF('Матрица'!$O$3:$O$37,"Из блока ADR-600: P0",'Матрица'!$N$3:$N$37)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SUMIF('Матрица'!$O$3:$O$37,"Из блока ADR-600: Согласования",'Матрица'!$M$3:$M$37)</f>
        <v/>
      </c>
      <c r="E16" s="33">
        <f>SUMIF('Матрица'!$O$3:$O$37,"Из блока ADR-600: Согласования",'Матрица'!$N$3:$N$37)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17</v>
      </c>
      <c r="C17" s="33" t="n">
        <v>25</v>
      </c>
      <c r="D17" s="33">
        <f>SUMIF('Матрица'!$O$3:$O$37,"Из блока ADR-600: Качество поиска и классификации",'Матрица'!$M$3:$M$37)</f>
        <v/>
      </c>
      <c r="E17" s="33">
        <f>SUMIF('Матрица'!$O$3:$O$37,"Из блока ADR-600: Качество поиска и классификации",'Матрица'!$N$3:$N$37)</f>
        <v/>
      </c>
      <c r="F17" s="43">
        <f>IF(AND(D17=B17,E17=C17),"да","НЕТ")</f>
        <v/>
      </c>
      <c r="G17" s="9" t="inlineStr">
        <is>
          <t>≈3,5–5 недель: расширение классификатора 10–15 чел-дн + сравнение моделей 3–4 + реранкер 2–3 + судья 2–3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SUMIF('Матрица'!$O$3:$O$37,"Из блока ADR-600: Основная разработка Этапа 2",'Матрица'!$M$3:$M$37)</f>
        <v/>
      </c>
      <c r="E18" s="33">
        <f>SUMIF('Матрица'!$O$3:$O$37,"Из блока ADR-600: Основная разработка Этапа 2",'Матрица'!$N$3:$N$37)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SUMIF('Матрица'!$O$3:$O$37,"Из блока ADR-600: Документация и ИБ",'Матрица'!$M$3:$M$37)</f>
        <v/>
      </c>
      <c r="E19" s="33">
        <f>SUMIF('Матрица'!$O$3:$O$37,"Из блока ADR-600: Документация и ИБ",'Матрица'!$N$3:$N$37)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SUMIF('Матрица'!$O$3:$O$37,"Из блока ADR-600: Анализ типов на живых данных",'Матрица'!$M$3:$M$37)</f>
        <v/>
      </c>
      <c r="E20" s="33">
        <f>SUMIF('Матрица'!$O$3:$O$37,"Из блока ADR-600: Анализ типов на живых данных",'Матрица'!$N$3:$N$37)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Итого по блокам</t>
        </is>
      </c>
      <c r="B21" s="37">
        <f>SUM(B15:B20)</f>
        <v/>
      </c>
      <c r="C21" s="37">
        <f>SUM(C15:C20)</f>
        <v/>
      </c>
      <c r="D21" s="37">
        <f>SUM(D15:D20)</f>
        <v/>
      </c>
      <c r="E21" s="37">
        <f>SUM(E15:E20)</f>
        <v/>
      </c>
      <c r="F21" s="44">
        <f>IF(AND(D21=B21,E21=C21),"да","НЕТ")</f>
        <v/>
      </c>
      <c r="G21" s="9" t="inlineStr">
        <is>
          <t>ADR-600 называет итог ≈13–20 недель (≈65–100 чел-дн); сумма блоков 66,5–99,5 — округление в самом ADR-600</t>
        </is>
      </c>
    </row>
    <row r="23">
      <c r="A23" s="42" t="inlineStr">
        <is>
          <t>Затраты, которые не выражаются человеко-днями</t>
        </is>
      </c>
    </row>
    <row r="24">
      <c r="A24" s="5" t="inlineStr">
        <is>
          <t>Контур</t>
        </is>
      </c>
      <c r="B24" s="5" t="inlineStr">
        <is>
          <t>Статья</t>
        </is>
      </c>
      <c r="C24" s="5" t="inlineStr">
        <is>
          <t>Значение / комментарий</t>
        </is>
      </c>
      <c r="D24" s="5" t="inlineStr">
        <is>
          <t>От</t>
        </is>
      </c>
      <c r="E24" s="5" t="inlineStr">
        <is>
          <t>До</t>
        </is>
      </c>
      <c r="F24" s="5" t="inlineStr">
        <is>
          <t>Единица</t>
        </is>
      </c>
      <c r="G24" s="5" t="inlineStr">
        <is>
          <t>Источник</t>
        </is>
      </c>
    </row>
    <row r="25">
      <c r="A25" s="11" t="inlineStr">
        <is>
          <t>MVP</t>
        </is>
      </c>
      <c r="B25" s="9" t="inlineStr">
        <is>
          <t>Токены генерации (YandexGPT Pro, 0,8 ₽ за 1000 токенов)</t>
        </is>
      </c>
      <c r="C25" s="9" t="inlineStr">
        <is>
          <t>≈146 ₽/мес при базовом сценарии (10% визитов, 30% до модели) — ≈1 698 ₽/мес при максимальном (50%, 70%)</t>
        </is>
      </c>
      <c r="D25" s="41" t="n">
        <v>146</v>
      </c>
      <c r="E25" s="41" t="n">
        <v>1698</v>
      </c>
      <c r="F25" s="9" t="inlineStr">
        <is>
          <t>₽/мес</t>
        </is>
      </c>
      <c r="G25" s="9" t="inlineStr">
        <is>
          <t>ADR-500</t>
        </is>
      </c>
    </row>
    <row r="26">
      <c r="A26" s="11" t="inlineStr">
        <is>
          <t>MVP</t>
        </is>
      </c>
      <c r="B26" s="9" t="inlineStr">
        <is>
          <t>GPU-сервер под эмбеддинги и реранкер</t>
        </is>
      </c>
      <c r="C26" s="9" t="inlineStr">
        <is>
          <t>Не оценён отдельной строкой сметы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MVP</t>
        </is>
      </c>
      <c r="B27" s="9" t="inlineStr">
        <is>
          <t>Kubernetes-кластер, хранилища, наблюдаемость (железо, размещение, обслуживание)</t>
        </is>
      </c>
      <c r="C27" s="9" t="inlineStr">
        <is>
          <t>Не оценены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Тираж</t>
        </is>
      </c>
      <c r="B28" s="9" t="inlineStr">
        <is>
          <t>Карта A100 80 ГБ (покупка)</t>
        </is>
      </c>
      <c r="C28" s="9" t="inlineStr">
        <is>
          <t>OEM ≈927 000 ₽; оригинал/сертифицированная ≈2 368 080 ₽ (аренда 35–50 тыс. ₽/мес исключена триггером)</t>
        </is>
      </c>
      <c r="D28" s="41" t="n">
        <v>927000</v>
      </c>
      <c r="E28" s="41" t="n">
        <v>2368080</v>
      </c>
      <c r="F28" s="9" t="inlineStr">
        <is>
          <t>₽</t>
        </is>
      </c>
      <c r="G28" s="9" t="inlineStr">
        <is>
          <t>ADR-500</t>
        </is>
      </c>
    </row>
    <row r="29">
      <c r="A29" s="11" t="inlineStr">
        <is>
          <t>Тираж</t>
        </is>
      </c>
      <c r="B29" s="9" t="inlineStr">
        <is>
          <t>Сервер-хост, электричество, размещение, обслуживание GPU</t>
        </is>
      </c>
      <c r="C29" s="9" t="inlineStr">
        <is>
          <t>Не оценены</t>
        </is>
      </c>
      <c r="D29" s="41" t="n"/>
      <c r="E29" s="41" t="n"/>
      <c r="F29" s="9" t="inlineStr">
        <is>
          <t>₽</t>
        </is>
      </c>
      <c r="G29" s="9" t="inlineStr">
        <is>
          <t>ADR-500 (открытый пункт)</t>
        </is>
      </c>
    </row>
    <row r="31">
      <c r="A31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'Матрица'!M8</f>
        <v/>
      </c>
      <c r="E16" s="33">
        <f>'Матрица'!N8</f>
        <v/>
      </c>
      <c r="F16" s="18">
        <f>'Матрица'!O8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'Матрица'!M9</f>
        <v/>
      </c>
      <c r="E17" s="33">
        <f>'Матрица'!N9</f>
        <v/>
      </c>
      <c r="F17" s="13">
        <f>'Матрица'!O9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'Матрица'!M10</f>
        <v/>
      </c>
      <c r="E18" s="33">
        <f>'Матрица'!N10</f>
        <v/>
      </c>
      <c r="F18" s="18">
        <f>'Матрица'!O10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'Матрица'!M11</f>
        <v/>
      </c>
      <c r="E19" s="33">
        <f>'Матрица'!N11</f>
        <v/>
      </c>
      <c r="F19" s="18">
        <f>'Матрица'!O11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'Матрица'!M12</f>
        <v/>
      </c>
      <c r="E20" s="33">
        <f>'Матрица'!N12</f>
        <v/>
      </c>
      <c r="F20" s="13">
        <f>'Матрица'!O12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'Матрица'!M13</f>
        <v/>
      </c>
      <c r="E21" s="33">
        <f>'Матрица'!N13</f>
        <v/>
      </c>
      <c r="F21" s="13">
        <f>'Матрица'!O13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'Матрица'!M14</f>
        <v/>
      </c>
      <c r="E22" s="33">
        <f>'Матрица'!N14</f>
        <v/>
      </c>
      <c r="F22" s="13">
        <f>'Матрица'!O14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'Матрица'!M15</f>
        <v/>
      </c>
      <c r="E23" s="33">
        <f>'Матрица'!N15</f>
        <v/>
      </c>
      <c r="F23" s="13">
        <f>'Матрица'!O15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'Матрица'!M16</f>
        <v/>
      </c>
      <c r="E24" s="33">
        <f>'Матрица'!N16</f>
        <v/>
      </c>
      <c r="F24" s="13">
        <f>'Матрица'!O16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'Матрица'!M17</f>
        <v/>
      </c>
      <c r="E25" s="33">
        <f>'Матрица'!N17</f>
        <v/>
      </c>
      <c r="F25" s="13">
        <f>'Матрица'!O17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'Матрица'!S17</f>
        <v/>
      </c>
      <c r="E26" s="33">
        <f>'Матрица'!T17</f>
        <v/>
      </c>
      <c r="F26" s="13">
        <f>'Матрица'!U17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'Матрица'!M18</f>
        <v/>
      </c>
      <c r="E27" s="33">
        <f>'Матрица'!N18</f>
        <v/>
      </c>
      <c r="F27" s="18">
        <f>'Матрица'!O18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'Матрица'!M19</f>
        <v/>
      </c>
      <c r="E28" s="33">
        <f>'Матрица'!N19</f>
        <v/>
      </c>
      <c r="F28" s="18">
        <f>'Матрица'!O19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'Матрица'!M20</f>
        <v/>
      </c>
      <c r="E29" s="33">
        <f>'Матрица'!N20</f>
        <v/>
      </c>
      <c r="F29" s="18">
        <f>'Матрица'!O20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'Матрица'!M21</f>
        <v/>
      </c>
      <c r="E30" s="33">
        <f>'Матрица'!N21</f>
        <v/>
      </c>
      <c r="F30" s="18">
        <f>'Матрица'!O21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'Матрица'!M22</f>
        <v/>
      </c>
      <c r="E31" s="33">
        <f>'Матрица'!N22</f>
        <v/>
      </c>
      <c r="F31" s="13">
        <f>'Матрица'!O22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'Матрица'!M23</f>
        <v/>
      </c>
      <c r="E32" s="33">
        <f>'Матрица'!N23</f>
        <v/>
      </c>
      <c r="F32" s="13">
        <f>'Матрица'!O23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'Матрица'!M24</f>
        <v/>
      </c>
      <c r="E33" s="33">
        <f>'Матрица'!N24</f>
        <v/>
      </c>
      <c r="F33" s="13">
        <f>'Матрица'!O24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'Матрица'!M26</f>
        <v/>
      </c>
      <c r="E34" s="33">
        <f>'Матрица'!N26</f>
        <v/>
      </c>
      <c r="F34" s="18">
        <f>'Матрица'!O26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'Матрица'!M33</f>
        <v/>
      </c>
      <c r="E35" s="33">
        <f>'Матрица'!N33</f>
        <v/>
      </c>
      <c r="F35" s="18">
        <f>'Матрица'!O33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'Матрица'!M34</f>
        <v/>
      </c>
      <c r="E36" s="33">
        <f>'Матрица'!N34</f>
        <v/>
      </c>
      <c r="F36" s="18">
        <f>'Матрица'!O34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'Матрица'!M35</f>
        <v/>
      </c>
      <c r="E37" s="33">
        <f>'Матрица'!N35</f>
        <v/>
      </c>
      <c r="F37" s="18">
        <f>'Матрица'!O35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'Матрица'!M37</f>
        <v/>
      </c>
      <c r="E38" s="33">
        <f>'Матрица'!N37</f>
        <v/>
      </c>
      <c r="F38" s="18">
        <f>'Матрица'!O37</f>
        <v/>
      </c>
    </row>
    <row r="40">
      <c r="B40" s="42" t="inlineStr">
        <is>
          <t>Документы-источники</t>
        </is>
      </c>
    </row>
    <row r="41">
      <c r="B41" s="11" t="inlineStr">
        <is>
          <t>ADR-100</t>
        </is>
      </c>
      <c r="C41" s="9" t="inlineStr">
        <is>
          <t>Что сдано и что отложено; таблица «целевой компонент — замена на прототипе»</t>
        </is>
      </c>
    </row>
    <row r="42">
      <c r="B42" s="11" t="inlineStr">
        <is>
          <t>ADR-200</t>
        </is>
      </c>
      <c r="C42" s="9" t="inlineStr">
        <is>
          <t>Стек по слоям, альтернативы, сравнение Python/Go/Node.js</t>
        </is>
      </c>
    </row>
    <row r="43">
      <c r="B43" s="11" t="inlineStr">
        <is>
          <t>ADR-300</t>
        </is>
      </c>
      <c r="C43" s="9" t="inlineStr">
        <is>
          <t>Модели: классификация, эмбеддинги, реранкер, генерация, судья</t>
        </is>
      </c>
    </row>
    <row r="44">
      <c r="B44" s="11" t="inlineStr">
        <is>
          <t>ADR-400</t>
        </is>
      </c>
      <c r="C44" s="9" t="inlineStr">
        <is>
          <t>Безопасность по контурам, открытые пункты</t>
        </is>
      </c>
    </row>
    <row r="45">
      <c r="B45" s="11" t="inlineStr">
        <is>
          <t>ADR-500</t>
        </is>
      </c>
      <c r="C45" s="9" t="inlineStr">
        <is>
          <t>Ресурсы и стоимость: прототип, MVP, тираж</t>
        </is>
      </c>
    </row>
    <row r="46">
      <c r="B46" s="11" t="inlineStr">
        <is>
          <t>ADR-600</t>
        </is>
      </c>
      <c r="C46" s="9" t="inlineStr">
        <is>
          <t>План развития и укрупнённые оценки трудозатрат</t>
        </is>
      </c>
    </row>
    <row r="47">
      <c r="B47" s="11" t="inlineStr">
        <is>
          <t>C4_Deployment, C3/*</t>
        </is>
      </c>
      <c r="C47" s="9" t="inlineStr">
        <is>
          <t>Целевая схема развёртывания и компоненты</t>
        </is>
      </c>
    </row>
    <row r="48">
      <c r="B48" s="11" t="inlineStr">
        <is>
          <t>Код и docker-compose.yml</t>
        </is>
      </c>
      <c r="C48" s="9" t="inlineStr">
        <is>
          <t>Проверка колонки «Сейчас»</t>
        </is>
      </c>
    </row>
  </sheetData>
  <mergeCells count="14">
    <mergeCell ref="C47:F47"/>
    <mergeCell ref="C45:F45"/>
    <mergeCell ref="C3:F3"/>
    <mergeCell ref="C48:F48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2026-09-24T11:27:36Z</dcterms:created>
  <dcterms:modified xmlns:dcterms="http://purl.org/dc/terms/" xmlns:xsi="http://www.w3.org/2001/XMLSchema-instance" xsi:type="dcterms:W3CDTF">2026-09-24T11:27:36Z</dcterms:modified>
</cp:coreProperties>
</file>