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G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H5" s="9" t="inlineStr">
        <is>
          <t>Правила и словарь — как сейчас; k-NN на эмбеддингах BGE-M3 (GPU) — тем же эмбеддером, что и поиск.</t>
        </is>
      </c>
      <c r="I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9" t="inlineStr">
        <is>
          <t>Как на MVP (изменений нет).</t>
        </is>
      </c>
      <c r="N5" s="9" t="inlineStr">
        <is>
          <t>Те же правила; k-NN на BGE-M3.</t>
        </is>
      </c>
      <c r="O5" s="9" t="inlineStr">
        <is>
          <t>Собственная модель генерации на тираже классификацию не затрагивает: k-NN использует эмбеддер поиска.</t>
        </is>
      </c>
      <c r="P5" s="19" t="n"/>
      <c r="Q5" s="19" t="n"/>
      <c r="R5" s="9" t="n"/>
      <c r="S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LiteLLM с единым OpenAI-совместимым интерфейсом. Внутри контейнера Backend как модуль: Quota → PII-фильтр → LiteLLM → Guardrails.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(retry, circuit breaker, 100+ адаптеров).</t>
        </is>
      </c>
      <c r="F6" s="9" t="inlineStr">
        <is>
          <t>Отдельного контейнера нет — шлюз пока внутри Backend.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LiteLLM, отдельный Deployment.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20" t="n">
        <v>5</v>
      </c>
      <c r="Q9" s="20" t="n">
        <v>10</v>
      </c>
      <c r="R9" s="21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E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9" t="inlineStr">
        <is>
          <t>Как на MVP (изменений нет).</t>
        </is>
      </c>
      <c r="N10" s="9" t="inlineStr">
        <is>
          <t>BGE-M3 на том же GPU-пуле.</t>
        </is>
      </c>
      <c r="O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P10" s="19" t="n"/>
      <c r="Q10" s="19" t="n"/>
      <c r="R10" s="9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20" t="n">
        <v>5</v>
      </c>
      <c r="Q18" s="20" t="n">
        <v>5</v>
      </c>
      <c r="R18" s="21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20" t="n">
        <v>2</v>
      </c>
      <c r="Q22" s="20" t="n">
        <v>3</v>
      </c>
      <c r="R22" s="21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20" t="n">
        <v>1</v>
      </c>
      <c r="K27" s="20" t="n">
        <v>2</v>
      </c>
      <c r="L27" s="21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20" t="n">
        <v>1</v>
      </c>
      <c r="K28" s="20" t="n">
        <v>2</v>
      </c>
      <c r="L28" s="21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19" t="n"/>
      <c r="K29" s="19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19" t="n"/>
      <c r="K31" s="19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19" t="n"/>
      <c r="Q31" s="19" t="n"/>
      <c r="R31" s="9" t="n"/>
      <c r="S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19" t="n"/>
      <c r="Q35" s="19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20" t="n">
        <v>3</v>
      </c>
      <c r="Q36" s="20" t="n">
        <v>5</v>
      </c>
      <c r="R36" s="21" t="inlineStr">
        <is>
          <t>ADR-600</t>
        </is>
      </c>
      <c r="S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E37" s="9" t="inlineStr">
        <is>
          <t>—</t>
        </is>
      </c>
      <c r="F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G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H37" s="9" t="inlineStr">
        <is>
          <t>Скрипты замера (`scripts/measure_classifier.py`, `measure_search_models.py`), `golden_set/`, PII Filter; результат — обновлённый `Inquiry_Types.xlsx`.</t>
        </is>
      </c>
      <c r="I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J37" s="17" t="n">
        <v>13</v>
      </c>
      <c r="K37" s="17" t="n">
        <v>19</v>
      </c>
      <c r="L37" s="18" t="inlineStr">
        <is>
          <t>Из блока ADR-600: Анализ типов на живых данных</t>
        </is>
      </c>
      <c r="M37" s="9" t="inlineStr">
        <is>
          <t>Повторное решение по моделям для тиража по живой статистике MVP.</t>
        </is>
      </c>
      <c r="N37" s="9" t="inlineStr">
        <is>
          <t>Те же скрипты замера; при смене модели — переиндексация и пересчёт порогов k-NN.</t>
        </is>
      </c>
      <c r="O37" s="9" t="inlineStr">
        <is>
          <t>Проверить, что модель MVP годится при нагрузке тиража; при необходимости пересчитать пороги и sizing.</t>
        </is>
      </c>
      <c r="P37" s="20" t="n">
        <v>2</v>
      </c>
      <c r="Q37" s="20" t="n">
        <v>3</v>
      </c>
      <c r="R37" s="21" t="inlineStr">
        <is>
          <t>ADR-600</t>
        </is>
      </c>
      <c r="S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S37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SUM('Матрица'!$J$3:$J$37)</f>
        <v/>
      </c>
      <c r="C5" s="33">
        <f>SUM('Матрица'!$K$3:$K$37)</f>
        <v/>
      </c>
      <c r="D5" s="33">
        <f>B5/5</f>
        <v/>
      </c>
      <c r="E5" s="33">
        <f>C5/5</f>
        <v/>
      </c>
      <c r="F5" s="34">
        <f>SUMIF('Матрица'!$L$3:$L$37,"ADR-600",'Матрица'!$J$3:$J$37)</f>
        <v/>
      </c>
      <c r="G5" s="34">
        <f>SUMIF('Матрица'!$L$3:$L$37,"ADR-600",'Матрица'!$K$3:$K$37)</f>
        <v/>
      </c>
      <c r="H5" s="35">
        <f>SUMIF('Матрица'!$L$3:$L$37,"Из блока*",'Матрица'!$J$3:$J$37)</f>
        <v/>
      </c>
      <c r="I5" s="35">
        <f>SUMIF('Матрица'!$L$3:$L$37,"Из блока*",'Матрица'!$K$3:$K$37)</f>
        <v/>
      </c>
      <c r="J5" s="36">
        <f>SUMIF('Матрица'!$L$3:$L$37,"Оценка автора",'Матрица'!$J$3:$J$37)</f>
        <v/>
      </c>
      <c r="K5" s="36">
        <f>SUMIF('Матрица'!$L$3:$L$37,"Оценка автора",'Матрица'!$K$3:$K$37)</f>
        <v/>
      </c>
    </row>
    <row r="6">
      <c r="A6" s="11" t="inlineStr">
        <is>
          <t>Тираж — 90 000 абонентов</t>
        </is>
      </c>
      <c r="B6" s="33">
        <f>SUM('Матрица'!$P$3:$P$37)</f>
        <v/>
      </c>
      <c r="C6" s="33">
        <f>SUM('Матрица'!$Q$3:$Q$37)</f>
        <v/>
      </c>
      <c r="D6" s="33">
        <f>B6/5</f>
        <v/>
      </c>
      <c r="E6" s="33">
        <f>C6/5</f>
        <v/>
      </c>
      <c r="F6" s="34">
        <f>SUMIF('Матрица'!$R$3:$R$37,"ADR-600",'Матрица'!$P$3:$P$37)</f>
        <v/>
      </c>
      <c r="G6" s="34">
        <f>SUMIF('Матрица'!$R$3:$R$37,"ADR-600",'Матрица'!$Q$3:$Q$37)</f>
        <v/>
      </c>
      <c r="H6" s="35">
        <f>SUMIF('Матрица'!$R$3:$R$37,"Из блока*",'Матрица'!$P$3:$P$37)</f>
        <v/>
      </c>
      <c r="I6" s="35">
        <f>SUMIF('Матрица'!$R$3:$R$37,"Из блока*",'Матрица'!$Q$3:$Q$37)</f>
        <v/>
      </c>
      <c r="J6" s="36">
        <f>SUMIF('Матрица'!$R$3:$R$37,"Оценка автора",'Матрица'!$P$3:$P$37)</f>
        <v/>
      </c>
      <c r="K6" s="36">
        <f>SUMIF('Матрица'!$R$3:$R$37,"Оценка автора",'Матрица'!$Q$3:$Q$37)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SUMIF('Матрица'!$L$3:$L$37,"Из блока ADR-600: P0",'Матрица'!$J$3:$J$37)</f>
        <v/>
      </c>
      <c r="E15" s="33">
        <f>SUMIF('Матрица'!$L$3:$L$37,"Из блока ADR-600: P0",'Матрица'!$K$3:$K$37)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SUMIF('Матрица'!$L$3:$L$37,"Из блока ADR-600: Согласования",'Матрица'!$J$3:$J$37)</f>
        <v/>
      </c>
      <c r="E16" s="33">
        <f>SUMIF('Матрица'!$L$3:$L$37,"Из блока ADR-600: Согласования",'Матрица'!$K$3:$K$37)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SUMIF('Матрица'!$L$3:$L$37,"Из блока ADR-600: Качество поиска и классификации",'Матрица'!$J$3:$J$37)</f>
        <v/>
      </c>
      <c r="E17" s="33">
        <f>SUMIF('Матрица'!$L$3:$L$37,"Из блока ADR-600: Качество поиска и классификации",'Матрица'!$K$3:$K$37)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SUMIF('Матрица'!$L$3:$L$37,"Из блока ADR-600: Основная разработка Этапа 2",'Матрица'!$J$3:$J$37)</f>
        <v/>
      </c>
      <c r="E18" s="33">
        <f>SUMIF('Матрица'!$L$3:$L$37,"Из блока ADR-600: Основная разработка Этапа 2",'Матрица'!$K$3:$K$37)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SUMIF('Матрица'!$L$3:$L$37,"Из блока ADR-600: Документация и ИБ",'Матрица'!$J$3:$J$37)</f>
        <v/>
      </c>
      <c r="E19" s="33">
        <f>SUMIF('Матрица'!$L$3:$L$37,"Из блока ADR-600: Документация и ИБ",'Матрица'!$K$3:$K$37)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SUMIF('Матрица'!$L$3:$L$37,"Из блока ADR-600: Анализ типов на живых данных",'Матрица'!$J$3:$J$37)</f>
        <v/>
      </c>
      <c r="E20" s="33">
        <f>SUMIF('Матрица'!$L$3:$L$37,"Из блока ADR-600: Анализ типов на живых данных",'Матрица'!$K$3:$K$37)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≈12–18 недель (≈60–90 чел-дн); сумма блоков 59,5–89,5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'Матрица'!J37</f>
        <v/>
      </c>
      <c r="E38" s="33">
        <f>'Матрица'!K37</f>
        <v/>
      </c>
      <c r="F38" s="18">
        <f>'Матрица'!L37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2026-09-24T11:15:53Z</dcterms:created>
  <dcterms:modified xmlns:dcterms="http://purl.org/dc/terms/" xmlns:xsi="http://www.w3.org/2001/XMLSchema-instance" xsi:type="dcterms:W3CDTF">2026-09-24T11:15:53Z</dcterms:modified>
</cp:coreProperties>
</file>