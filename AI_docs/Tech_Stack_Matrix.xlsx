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2–3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10</v>
      </c>
      <c r="N5" s="17" t="n">
        <v>15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14" t="inlineStr">
        <is>
          <t>Без изменений</t>
        </is>
      </c>
      <c r="K7" s="15" t="n"/>
      <c r="L7" s="15" t="n"/>
      <c r="M7" s="16" t="n"/>
      <c r="N7" s="16" t="n"/>
      <c r="O7" s="15" t="n"/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(модели судьи);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калибровка порогов.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YandexGPT как судья при GigaChat Pro в роли отвечающей модели.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2</v>
      </c>
      <c r="N8" s="17" t="n">
        <v>3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(34 ГБ весов плюс запас под кэш).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</t>
        </is>
      </c>
      <c r="H11" s="9" t="inlineStr">
        <is>
          <t>ADR-300, раздел 3 «Переранжирование»;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2</v>
      </c>
      <c r="N11" s="17" t="n">
        <v>3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pgvector: не тянет фильтрацию по payload на нужном объёме. Milvus: тяжелее в эксплуатации при том же результате.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PostgreSQL (слепки на прототипе, материализованное представление на MVP); Redis; клиент psycopg 3</t>
        </is>
      </c>
      <c r="F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G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H13" s="9" t="inlineStr">
        <is>
          <t>ADR-200, раздел «Сравнение вариантов по слоям», подраздел «Почему кэш профиля — таблица и Redis, а не Feature Store»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(REST).</t>
        </is>
      </c>
      <c r="K13" s="9" t="inlineStr">
        <is>
          <t>Kubernetes CronJob → Postgres (материализованное представление) + Redis.</t>
        </is>
      </c>
      <c r="L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M13" s="12" t="n">
        <v>5</v>
      </c>
      <c r="N13" s="12" t="n">
        <v>8</v>
      </c>
      <c r="O13" s="13" t="inlineStr">
        <is>
          <t>Оценка автора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(нагрузка на основную базу)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Одна база вместо двух на объёме одного стенда.</t>
        </is>
      </c>
      <c r="H15" s="9" t="inlineStr">
        <is>
          <t>ADR-200, раздел «Сравнение вариантов по слоям», подраздел «Почему PostgreSQL и Redis»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— целевой выбор против PostgreSQL (годится для стенда, при росте замедляется), TimescaleDB (остаётся строковым хранилищем) и OpenSearch (тяжелее без выигрыша). На прототипе ClickHouse не нужен: вторая СУБД ради объёма одного стенда.</t>
        </is>
      </c>
      <c r="H16" s="9" t="inlineStr">
        <is>
          <t>ADR-200, раздел «Сравнение вариантов по слоям», подраздел «Почему ClickHouse для телеметрии»</t>
        </is>
      </c>
      <c r="I16" s="9" t="inlineStr">
        <is>
          <t>Произвольная нарезка аналитики (по абоненту, типу, модели) на объёме MVP в Postgres будет тормозить.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Целевое хранилище телеметрии; переезд — смена DSN и диалекта запросов записи, не бизнес-логики.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7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4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4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</t>
        </is>
      </c>
      <c r="M38" s="17" t="n">
        <v>10</v>
      </c>
      <c r="N38" s="17" t="n">
        <v>16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5" t="inlineStr">
        <is>
          <t>Цвет ячеек с оценкой:</t>
        </is>
      </c>
    </row>
    <row r="41">
      <c r="C41" s="26" t="n"/>
      <c r="D41" s="27" t="inlineStr">
        <is>
          <t>цифра прямо из ADR-600</t>
        </is>
      </c>
    </row>
    <row r="42">
      <c r="C42" s="28" t="n"/>
      <c r="D42" s="27" t="inlineStr">
        <is>
          <t>цифра блока ADR-600 (или его доля, распределённая автором) — подтвердить</t>
        </is>
      </c>
    </row>
    <row r="43">
      <c r="C43" s="29" t="n"/>
      <c r="D43" s="27" t="inlineStr">
        <is>
          <t>в ADR-600 нет, оценка автора — подтвердить</t>
        </is>
      </c>
    </row>
    <row r="44">
      <c r="C44" s="30" t="n"/>
      <c r="D44" s="27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SUM('Матрица'!$M$3:$M$38)</f>
        <v/>
      </c>
      <c r="C5" s="33">
        <f>SUM('Матрица'!$N$3:$N$38)</f>
        <v/>
      </c>
      <c r="D5" s="33">
        <f>B5/5</f>
        <v/>
      </c>
      <c r="E5" s="33">
        <f>C5/5</f>
        <v/>
      </c>
      <c r="F5" s="34">
        <f>SUMIF('Матрица'!$O$3:$O$38,"ADR-600",'Матрица'!$M$3:$M$38)</f>
        <v/>
      </c>
      <c r="G5" s="34">
        <f>SUMIF('Матрица'!$O$3:$O$38,"ADR-600",'Матрица'!$N$3:$N$38)</f>
        <v/>
      </c>
      <c r="H5" s="35">
        <f>SUMIF('Матрица'!$O$3:$O$38,"Из блока*",'Матрица'!$M$3:$M$38)</f>
        <v/>
      </c>
      <c r="I5" s="35">
        <f>SUMIF('Матрица'!$O$3:$O$38,"Из блока*",'Матрица'!$N$3:$N$38)</f>
        <v/>
      </c>
      <c r="J5" s="36">
        <f>SUMIF('Матрица'!$O$3:$O$38,"Оценка автора",'Матрица'!$M$3:$M$38)</f>
        <v/>
      </c>
      <c r="K5" s="36">
        <f>SUMIF('Матрица'!$O$3:$O$38,"Оценка автора",'Матрица'!$N$3:$N$38)</f>
        <v/>
      </c>
    </row>
    <row r="6">
      <c r="A6" s="11" t="inlineStr">
        <is>
          <t>Тираж — 90 000 абонентов</t>
        </is>
      </c>
      <c r="B6" s="33">
        <f>SUM('Матрица'!$S$3:$S$38)</f>
        <v/>
      </c>
      <c r="C6" s="33">
        <f>SUM('Матрица'!$T$3:$T$38)</f>
        <v/>
      </c>
      <c r="D6" s="33">
        <f>B6/5</f>
        <v/>
      </c>
      <c r="E6" s="33">
        <f>C6/5</f>
        <v/>
      </c>
      <c r="F6" s="34">
        <f>SUMIF('Матрица'!$U$3:$U$38,"ADR-600",'Матрица'!$S$3:$S$38)</f>
        <v/>
      </c>
      <c r="G6" s="34">
        <f>SUMIF('Матрица'!$U$3:$U$38,"ADR-600",'Матрица'!$T$3:$T$38)</f>
        <v/>
      </c>
      <c r="H6" s="35">
        <f>SUMIF('Матрица'!$U$3:$U$38,"Из блока*",'Матрица'!$S$3:$S$38)</f>
        <v/>
      </c>
      <c r="I6" s="35">
        <f>SUMIF('Матрица'!$U$3:$U$38,"Из блока*",'Матрица'!$T$3:$T$38)</f>
        <v/>
      </c>
      <c r="J6" s="36">
        <f>SUMIF('Матрица'!$U$3:$U$38,"Оценка автора",'Матрица'!$S$3:$S$38)</f>
        <v/>
      </c>
      <c r="K6" s="36">
        <f>SUMIF('Матрица'!$U$3:$U$38,"Оценка автора",'Матрица'!$T$3:$T$38)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SUMIF('Матрица'!$O$3:$O$38,"Из блока ADR-600: P0",'Матрица'!$M$3:$M$38)</f>
        <v/>
      </c>
      <c r="E15" s="33">
        <f>SUMIF('Матрица'!$O$3:$O$38,"Из блока ADR-600: P0",'Матрица'!$N$3:$N$38)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SUMIF('Матрица'!$O$3:$O$38,"Из блока ADR-600: Согласования",'Матрица'!$M$3:$M$38)</f>
        <v/>
      </c>
      <c r="E16" s="33">
        <f>SUMIF('Матрица'!$O$3:$O$38,"Из блока ADR-600: Согласования",'Матрица'!$N$3:$N$38)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24</v>
      </c>
      <c r="C17" s="33" t="n">
        <v>35</v>
      </c>
      <c r="D17" s="33">
        <f>SUMIF('Матрица'!$O$3:$O$38,"Из блока ADR-600: Качество поиска и классификации",'Матрица'!$M$3:$M$38)</f>
        <v/>
      </c>
      <c r="E17" s="33">
        <f>SUMIF('Матрица'!$O$3:$O$38,"Из блока ADR-600: Качество поиска и классификации",'Матрица'!$N$3:$N$38)</f>
        <v/>
      </c>
      <c r="F17" s="43">
        <f>IF(AND(D17=B17,E17=C17),"да","НЕТ")</f>
        <v/>
      </c>
      <c r="G17" s="9" t="inlineStr">
        <is>
          <t>≈5–7 недель: расширение классификатора 10–15 чел-дн + тест моделей эмбеддингов 10–14 + реранкер 2–3 + судья 2–3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SUMIF('Матрица'!$O$3:$O$38,"Из блока ADR-600: Основная разработка Этапа 2",'Матрица'!$M$3:$M$38)</f>
        <v/>
      </c>
      <c r="E18" s="33">
        <f>SUMIF('Матрица'!$O$3:$O$38,"Из блока ADR-600: Основная разработка Этапа 2",'Матрица'!$N$3:$N$38)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SUMIF('Матрица'!$O$3:$O$38,"Из блока ADR-600: Документация и ИБ",'Матрица'!$M$3:$M$38)</f>
        <v/>
      </c>
      <c r="E19" s="33">
        <f>SUMIF('Матрица'!$O$3:$O$38,"Из блока ADR-600: Документация и ИБ",'Матрица'!$N$3:$N$38)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SUMIF('Матрица'!$O$3:$O$38,"Из блока ADR-600: Анализ типов на живых данных",'Матрица'!$M$3:$M$38)</f>
        <v/>
      </c>
      <c r="E20" s="33">
        <f>SUMIF('Матрица'!$O$3:$O$38,"Из блока ADR-600: Анализ типов на живых данных",'Матрица'!$N$3:$N$38)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3" t="n">
        <v>10</v>
      </c>
      <c r="C21" s="33" t="n">
        <v>16</v>
      </c>
      <c r="D21" s="33">
        <f>SUMIF('Матрица'!$O$3:$O$38,"Из блока ADR-600: Проверка Guardrails и провайдеров на живых данных",'Матрица'!$M$3:$M$38)</f>
        <v/>
      </c>
      <c r="E21" s="33">
        <f>SUMIF('Матрица'!$O$3:$O$38,"Из блока ADR-600: Проверка Guardrails и провайдеров на живых данных",'Матрица'!$N$3:$N$38)</f>
        <v/>
      </c>
      <c r="F21" s="43">
        <f>IF(AND(D21=B21,E21=C21),"да","НЕТ")</f>
        <v/>
      </c>
      <c r="G21" s="9" t="inlineStr">
        <is>
          <t>10–16 чел-дн (ADR-600): выборка 1–2, Guardrails 4–6, сравнение провайдеров 4–6, решение 1–2</t>
        </is>
      </c>
    </row>
    <row r="22">
      <c r="A22" s="11" t="inlineStr">
        <is>
          <t>Итого по блокам</t>
        </is>
      </c>
      <c r="B22" s="37">
        <f>SUM(B15:B21)</f>
        <v/>
      </c>
      <c r="C22" s="37">
        <f>SUM(C15:C21)</f>
        <v/>
      </c>
      <c r="D22" s="37">
        <f>SUM(D15:D21)</f>
        <v/>
      </c>
      <c r="E22" s="37">
        <f>SUM(E15:E21)</f>
        <v/>
      </c>
      <c r="F22" s="44">
        <f>IF(AND(D22=B22,E22=C22),"да","НЕТ")</f>
        <v/>
      </c>
      <c r="G22" s="9" t="inlineStr">
        <is>
          <t>ADR-600 называет итог ≈17–25 недель (≈85–125 чел-дн); сумма блоков 83,5–125,5 — округление в самом ADR-600</t>
        </is>
      </c>
    </row>
    <row r="24">
      <c r="A24" s="42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1" t="n">
        <v>146</v>
      </c>
      <c r="E26" s="41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1" t="n"/>
      <c r="E28" s="41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1" t="n">
        <v>927000</v>
      </c>
      <c r="E29" s="41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1" t="n"/>
      <c r="E30" s="41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'Матрица'!M3</f>
        <v/>
      </c>
      <c r="E12" s="33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'Матрица'!M4</f>
        <v/>
      </c>
      <c r="E13" s="33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'Матрица'!M5</f>
        <v/>
      </c>
      <c r="E14" s="33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'Матрица'!M6</f>
        <v/>
      </c>
      <c r="E15" s="33">
        <f>'Матрица'!N6</f>
        <v/>
      </c>
      <c r="F15" s="13">
        <f>'Матрица'!O6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'Матрица'!M8</f>
        <v/>
      </c>
      <c r="E16" s="33">
        <f>'Матрица'!N8</f>
        <v/>
      </c>
      <c r="F16" s="18">
        <f>'Матрица'!O8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'Матрица'!M9</f>
        <v/>
      </c>
      <c r="E17" s="33">
        <f>'Матрица'!N9</f>
        <v/>
      </c>
      <c r="F17" s="13">
        <f>'Матрица'!O9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'Матрица'!M10</f>
        <v/>
      </c>
      <c r="E18" s="33">
        <f>'Матрица'!N10</f>
        <v/>
      </c>
      <c r="F18" s="18">
        <f>'Матрица'!O10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'Матрица'!M11</f>
        <v/>
      </c>
      <c r="E19" s="33">
        <f>'Матрица'!N11</f>
        <v/>
      </c>
      <c r="F19" s="18">
        <f>'Матрица'!O11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'Матрица'!M12</f>
        <v/>
      </c>
      <c r="E20" s="33">
        <f>'Матрица'!N12</f>
        <v/>
      </c>
      <c r="F20" s="13">
        <f>'Матрица'!O12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'Матрица'!M13</f>
        <v/>
      </c>
      <c r="E21" s="33">
        <f>'Матрица'!N13</f>
        <v/>
      </c>
      <c r="F21" s="13">
        <f>'Матрица'!O13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'Матрица'!M14</f>
        <v/>
      </c>
      <c r="E22" s="33">
        <f>'Матрица'!N14</f>
        <v/>
      </c>
      <c r="F22" s="13">
        <f>'Матрица'!O14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'Матрица'!M15</f>
        <v/>
      </c>
      <c r="E23" s="33">
        <f>'Матрица'!N15</f>
        <v/>
      </c>
      <c r="F23" s="13">
        <f>'Матрица'!O15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'Матрица'!M16</f>
        <v/>
      </c>
      <c r="E24" s="33">
        <f>'Матрица'!N16</f>
        <v/>
      </c>
      <c r="F24" s="13">
        <f>'Матрица'!O16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'Матрица'!M17</f>
        <v/>
      </c>
      <c r="E25" s="33">
        <f>'Матрица'!N17</f>
        <v/>
      </c>
      <c r="F25" s="13">
        <f>'Матрица'!O17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'Матрица'!S17</f>
        <v/>
      </c>
      <c r="E26" s="33">
        <f>'Матрица'!T17</f>
        <v/>
      </c>
      <c r="F26" s="13">
        <f>'Матрица'!U17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'Матрица'!M18</f>
        <v/>
      </c>
      <c r="E27" s="33">
        <f>'Матрица'!N18</f>
        <v/>
      </c>
      <c r="F27" s="18">
        <f>'Матрица'!O18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'Матрица'!M19</f>
        <v/>
      </c>
      <c r="E28" s="33">
        <f>'Матрица'!N19</f>
        <v/>
      </c>
      <c r="F28" s="18">
        <f>'Матрица'!O19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'Матрица'!M20</f>
        <v/>
      </c>
      <c r="E29" s="33">
        <f>'Матрица'!N20</f>
        <v/>
      </c>
      <c r="F29" s="18">
        <f>'Матрица'!O20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'Матрица'!M21</f>
        <v/>
      </c>
      <c r="E30" s="33">
        <f>'Матрица'!N21</f>
        <v/>
      </c>
      <c r="F30" s="18">
        <f>'Матрица'!O21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'Матрица'!M22</f>
        <v/>
      </c>
      <c r="E31" s="33">
        <f>'Матрица'!N22</f>
        <v/>
      </c>
      <c r="F31" s="13">
        <f>'Матрица'!O22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'Матрица'!M23</f>
        <v/>
      </c>
      <c r="E32" s="33">
        <f>'Матрица'!N23</f>
        <v/>
      </c>
      <c r="F32" s="13">
        <f>'Матрица'!O23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'Матрица'!M24</f>
        <v/>
      </c>
      <c r="E33" s="33">
        <f>'Матрица'!N24</f>
        <v/>
      </c>
      <c r="F33" s="13">
        <f>'Матрица'!O24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'Матрица'!M26</f>
        <v/>
      </c>
      <c r="E34" s="33">
        <f>'Матрица'!N26</f>
        <v/>
      </c>
      <c r="F34" s="18">
        <f>'Матрица'!O26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'Матрица'!M33</f>
        <v/>
      </c>
      <c r="E35" s="33">
        <f>'Матрица'!N33</f>
        <v/>
      </c>
      <c r="F35" s="18">
        <f>'Матрица'!O33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'Матрица'!M34</f>
        <v/>
      </c>
      <c r="E36" s="33">
        <f>'Матрица'!N34</f>
        <v/>
      </c>
      <c r="F36" s="18">
        <f>'Матрица'!O34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'Матрица'!M35</f>
        <v/>
      </c>
      <c r="E37" s="33">
        <f>'Матрица'!N35</f>
        <v/>
      </c>
      <c r="F37" s="18">
        <f>'Матрица'!O35</f>
        <v/>
      </c>
    </row>
    <row r="38">
      <c r="A38" s="9">
        <f>'Матрица'!A37</f>
        <v/>
      </c>
      <c r="B38" s="9">
        <f>'Матрица'!C37</f>
        <v/>
      </c>
      <c r="C38" s="9" t="inlineStr">
        <is>
          <t>MVP</t>
        </is>
      </c>
      <c r="D38" s="33">
        <f>'Матрица'!M37</f>
        <v/>
      </c>
      <c r="E38" s="33">
        <f>'Матрица'!N37</f>
        <v/>
      </c>
      <c r="F38" s="18">
        <f>'Матрица'!O37</f>
        <v/>
      </c>
    </row>
    <row r="39">
      <c r="A39" s="9">
        <f>'Матрица'!A38</f>
        <v/>
      </c>
      <c r="B39" s="9">
        <f>'Матрица'!C38</f>
        <v/>
      </c>
      <c r="C39" s="9" t="inlineStr">
        <is>
          <t>MVP</t>
        </is>
      </c>
      <c r="D39" s="33">
        <f>'Матрица'!M38</f>
        <v/>
      </c>
      <c r="E39" s="33">
        <f>'Матрица'!N38</f>
        <v/>
      </c>
      <c r="F39" s="18">
        <f>'Матрица'!O38</f>
        <v/>
      </c>
    </row>
    <row r="41">
      <c r="B41" s="42" t="inlineStr">
        <is>
          <t>Документы-источники</t>
        </is>
      </c>
    </row>
    <row r="42">
      <c r="B42" s="11" t="inlineStr">
        <is>
          <t>ADR-100</t>
        </is>
      </c>
      <c r="C42" s="9" t="inlineStr">
        <is>
          <t>Что сдано и что отложено; таблица «целевой компонент — замена на прототипе»</t>
        </is>
      </c>
    </row>
    <row r="43">
      <c r="B43" s="11" t="inlineStr">
        <is>
          <t>ADR-200</t>
        </is>
      </c>
      <c r="C43" s="9" t="inlineStr">
        <is>
          <t>Стек по слоям, альтернативы, сравнение Python/Go/Node.js</t>
        </is>
      </c>
    </row>
    <row r="44">
      <c r="B44" s="11" t="inlineStr">
        <is>
          <t>ADR-300</t>
        </is>
      </c>
      <c r="C44" s="9" t="inlineStr">
        <is>
          <t>Модели: классификация, эмбеддинги, реранкер, генерация, судья</t>
        </is>
      </c>
    </row>
    <row r="45">
      <c r="B45" s="11" t="inlineStr">
        <is>
          <t>ADR-400</t>
        </is>
      </c>
      <c r="C45" s="9" t="inlineStr">
        <is>
          <t>Безопасность по контурам, открытые пункты</t>
        </is>
      </c>
    </row>
    <row r="46">
      <c r="B46" s="11" t="inlineStr">
        <is>
          <t>ADR-500</t>
        </is>
      </c>
      <c r="C46" s="9" t="inlineStr">
        <is>
          <t>Ресурсы и стоимость: прототип, MVP, тираж</t>
        </is>
      </c>
    </row>
    <row r="47">
      <c r="B47" s="11" t="inlineStr">
        <is>
          <t>ADR-600</t>
        </is>
      </c>
      <c r="C47" s="9" t="inlineStr">
        <is>
          <t>План развития и укрупнённые оценки трудозатрат</t>
        </is>
      </c>
    </row>
    <row r="48">
      <c r="B48" s="11" t="inlineStr">
        <is>
          <t>C4_Deployment, C3/*</t>
        </is>
      </c>
      <c r="C48" s="9" t="inlineStr">
        <is>
          <t>Целевая схема развёртывания и компоненты</t>
        </is>
      </c>
    </row>
    <row r="49">
      <c r="B49" s="11" t="inlineStr">
        <is>
          <t>Код и docker-compose.yml</t>
        </is>
      </c>
      <c r="C49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2:F42"/>
    <mergeCell ref="C43:F43"/>
    <mergeCell ref="C6:F6"/>
    <mergeCell ref="C7:F7"/>
    <mergeCell ref="C46:F46"/>
    <mergeCell ref="C47:F47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2026-09-24T13:39:54Z</dcterms:created>
  <dcterms:modified xmlns:dcterms="http://purl.org/dc/terms/" xmlns:xsi="http://www.w3.org/2001/XMLSchema-instance" xsi:type="dcterms:W3CDTF">2026-09-24T13:39:54Z</dcterms:modified>
</cp:coreProperties>
</file>