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Форма компонента не выбрана (решение заказчика 25.09.2026):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Prometheus и Loki — верхняя оценка до ответа владельца.</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 Свод по операциям записи (решение заказчика 25.09.2026):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Документация и ИБ</t>
        </is>
      </c>
      <c r="B19" s="34" t="n">
        <v>5</v>
      </c>
      <c r="C19" s="34" t="n">
        <v>7.5</v>
      </c>
      <c r="D19" s="34">
        <f>SUMIF('Матрица'!$O$3:$O$43,"Из блока ADR-600: Документация и ИБ",'Матрица'!$M$3:$M$43)</f>
        <v/>
      </c>
      <c r="E19" s="34">
        <f>SUMIF('Матрица'!$O$3:$O$43,"Из блока ADR-600: Документация и ИБ",'Матрица'!$N$3:$N$43)</f>
        <v/>
      </c>
      <c r="F19" s="44">
        <f>IF(AND(D19=B19,E19=C19),"да","НЕТ")</f>
        <v/>
      </c>
      <c r="G19" s="9" t="inlineStr">
        <is>
          <t>1–1,5 недели</t>
        </is>
      </c>
    </row>
    <row r="20">
      <c r="A20" s="11" t="inlineStr">
        <is>
          <t>Анализ типов на живых данных</t>
        </is>
      </c>
      <c r="B20" s="34" t="n">
        <v>13</v>
      </c>
      <c r="C20" s="34" t="n">
        <v>19</v>
      </c>
      <c r="D20" s="34">
        <f>SUMIF('Матрица'!$O$3:$O$43,"Из блока ADR-600: Анализ типов на живых данных",'Матрица'!$M$3:$M$43)</f>
        <v/>
      </c>
      <c r="E20" s="34">
        <f>SUMIF('Матрица'!$O$3:$O$43,"Из блока ADR-600: Анализ типов на живых данных",'Матрица'!$N$3:$N$43)</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SUMIF('Матрица'!$O$3:$O$43,"Из блока ADR-600: Несколько задач в одной реплике (доработка после прототипа)",'Матрица'!$M$3:$M$43)</f>
        <v/>
      </c>
      <c r="E21" s="34">
        <f>SUMIF('Матрица'!$O$3:$O$43,"Из блока ADR-600: Несколько задач в одной реплике (доработка после прототипа)",'Матрица'!$N$3:$N$43)</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SUMIF('Матрица'!$O$3:$O$43,"Из блока ADR-600: Проверка Guardrails и провайдеров на живых данных",'Матрица'!$M$3:$M$43)</f>
        <v/>
      </c>
      <c r="E22" s="34">
        <f>SUMIF('Матрица'!$O$3:$O$43,"Из блока ADR-600: Проверка Guardrails и провайдеров на живых данных",'Матрица'!$N$3:$N$43)</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если примут собственную модель — вместо токенов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 только если решат брать собственную модель)</t>
        </is>
      </c>
      <c r="C31"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(+1 узел с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0,11 ГБ и 1,2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0,4 ГБ (MVP) и до 4 ГБ (тираж; подробные события хранятся 12 месяцев, старше — сводная таблица); диск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2026-09-25T09:00:26Z</dcterms:created>
  <dcterms:modified xmlns:dcterms="http://purl.org/dc/terms/" xmlns:xsi="http://www.w3.org/2001/XMLSchema-instance" xsi:type="dcterms:W3CDTF">2026-09-25T09:00:27Z</dcterms:modified>
</cp:coreProperties>
</file>