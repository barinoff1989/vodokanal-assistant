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'Матрица'!$A$2:$S$37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3"/>
  <sheetViews>
    <sheetView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50" customWidth="1" min="5" max="5"/>
    <col width="46" customWidth="1" min="6" max="6"/>
    <col width="34" customWidth="1" min="7" max="7"/>
    <col width="28" customWidth="1" min="8" max="8"/>
    <col width="36" customWidth="1" min="9" max="9"/>
    <col width="11" customWidth="1" min="10" max="10"/>
    <col width="11" customWidth="1" min="11" max="11"/>
    <col width="24" customWidth="1" min="12" max="12"/>
    <col width="34" customWidth="1" min="13" max="13"/>
    <col width="28" customWidth="1" min="14" max="14"/>
    <col width="36" customWidth="1" min="15" max="15"/>
    <col width="11" customWidth="1" min="16" max="16"/>
    <col width="11" customWidth="1" min="17" max="17"/>
    <col width="24" customWidth="1" min="18" max="18"/>
    <col width="26" customWidth="1" min="19" max="19"/>
  </cols>
  <sheetData>
    <row r="1" ht="22" customHeight="1">
      <c r="A1" s="1" t="inlineStr">
        <is>
          <t>Что это</t>
        </is>
      </c>
      <c r="B1" s="1" t="n"/>
      <c r="C1" s="1" t="n"/>
      <c r="D1" s="2" t="inlineStr">
        <is>
          <t>Сейчас (прототип)</t>
        </is>
      </c>
      <c r="E1" s="2" t="n"/>
      <c r="F1" s="2" t="n"/>
      <c r="G1" s="3" t="inlineStr">
        <is>
          <t>MVP — 8 000 абонентов</t>
        </is>
      </c>
      <c r="H1" s="3" t="n"/>
      <c r="I1" s="3" t="n"/>
      <c r="J1" s="3" t="n"/>
      <c r="K1" s="3" t="n"/>
      <c r="L1" s="3" t="n"/>
      <c r="M1" s="4" t="inlineStr">
        <is>
          <t>Тираж — 90 000 абонентов</t>
        </is>
      </c>
      <c r="N1" s="4" t="n"/>
      <c r="O1" s="4" t="n"/>
      <c r="P1" s="4" t="n"/>
      <c r="Q1" s="4" t="n"/>
      <c r="R1" s="4" t="n"/>
      <c r="S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6" t="inlineStr">
        <is>
          <t>Технология и стек (выбрано, работает сейчас)</t>
        </is>
      </c>
      <c r="E2" s="6" t="inlineStr">
        <is>
          <t>С чем сравнивали и почему выбрано</t>
        </is>
      </c>
      <c r="F2" s="6" t="inlineStr">
        <is>
          <t>Проблемы</t>
        </is>
      </c>
      <c r="G2" s="7" t="inlineStr">
        <is>
          <t>Что будет</t>
        </is>
      </c>
      <c r="H2" s="7" t="inlineStr">
        <is>
          <t>Стек</t>
        </is>
      </c>
      <c r="I2" s="7" t="inlineStr">
        <is>
          <t>Почему</t>
        </is>
      </c>
      <c r="J2" s="7" t="inlineStr">
        <is>
          <t>Доработки, чел-дн (мин)</t>
        </is>
      </c>
      <c r="K2" s="7" t="inlineStr">
        <is>
          <t>Доработки, чел-дн (макс)</t>
        </is>
      </c>
      <c r="L2" s="7" t="inlineStr">
        <is>
          <t>Основа оценки</t>
        </is>
      </c>
      <c r="M2" s="8" t="inlineStr">
        <is>
          <t>Что будет</t>
        </is>
      </c>
      <c r="N2" s="8" t="inlineStr">
        <is>
          <t>Стек</t>
        </is>
      </c>
      <c r="O2" s="8" t="inlineStr">
        <is>
          <t>Почему</t>
        </is>
      </c>
      <c r="P2" s="8" t="inlineStr">
        <is>
          <t>Доработки, чел-дн (мин)</t>
        </is>
      </c>
      <c r="Q2" s="8" t="inlineStr">
        <is>
          <t>Доработки, чел-дн (макс)</t>
        </is>
      </c>
      <c r="R2" s="8" t="inlineStr">
        <is>
          <t>Основа оценки</t>
        </is>
      </c>
      <c r="S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E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F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G3" s="9" t="inlineStr">
        <is>
          <t>Виджет, встроенный в личный кабинет, с SSO-сессией.</t>
        </is>
      </c>
      <c r="H3" s="9" t="inlineStr">
        <is>
          <t>React / TypeScript, сборка в образ `ai-widget`, за Ingress (nginx).</t>
        </is>
      </c>
      <c r="I3" s="9" t="inlineStr">
        <is>
          <t>Встраивание в существующий ЛК; целевая схема развёртывания (`C4_Deployment`).</t>
        </is>
      </c>
      <c r="J3" s="12" t="n">
        <v>10</v>
      </c>
      <c r="K3" s="12" t="n">
        <v>15</v>
      </c>
      <c r="L3" s="13" t="inlineStr">
        <is>
          <t>Оценка автора</t>
        </is>
      </c>
      <c r="M3" s="14" t="inlineStr">
        <is>
          <t>Без изменений</t>
        </is>
      </c>
      <c r="N3" s="15" t="n"/>
      <c r="O3" s="15" t="n"/>
      <c r="P3" s="16" t="n"/>
      <c r="Q3" s="16" t="n"/>
      <c r="R3" s="15" t="n"/>
      <c r="S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E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F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G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H4" s="9" t="inlineStr">
        <is>
          <t>Python / FastAPI, uvicorn без режима перезагрузки и без подключённых каталогов; Deployment в Kubernetes, секреты из Vault.</t>
        </is>
      </c>
      <c r="I4" s="9" t="inlineStr">
        <is>
          <t>Без привязки сессии запись от имени абонента включать нельзя (риск подмены, ADR-400).</t>
        </is>
      </c>
      <c r="J4" s="17" t="n">
        <v>3</v>
      </c>
      <c r="K4" s="17" t="n">
        <v>4</v>
      </c>
      <c r="L4" s="18" t="inlineStr">
        <is>
          <t>Из блока ADR-600: Основная разработка Этапа 2</t>
        </is>
      </c>
      <c r="M4" s="14" t="inlineStr">
        <is>
          <t>Без изменений</t>
        </is>
      </c>
      <c r="N4" s="15" t="n"/>
      <c r="O4" s="15" t="n"/>
      <c r="P4" s="16" t="n"/>
      <c r="Q4" s="16" t="n"/>
      <c r="R4" s="15" t="n"/>
      <c r="S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E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F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G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H5" s="9" t="inlineStr">
        <is>
          <t>Правила и словарь — как сейчас; k-NN на эмбеддингах BGE-M3 (GPU) — тем же эмбеддером, что и поиск.</t>
        </is>
      </c>
      <c r="I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J5" s="17" t="n">
        <v>10</v>
      </c>
      <c r="K5" s="17" t="n">
        <v>15</v>
      </c>
      <c r="L5" s="18" t="inlineStr">
        <is>
          <t>Из блока ADR-600: Качество поиска и классификации</t>
        </is>
      </c>
      <c r="M5" s="9" t="inlineStr">
        <is>
          <t>Как на MVP (изменений нет).</t>
        </is>
      </c>
      <c r="N5" s="9" t="inlineStr">
        <is>
          <t>Те же правила; k-NN на BGE-M3.</t>
        </is>
      </c>
      <c r="O5" s="9" t="inlineStr">
        <is>
          <t>Собственная модель генерации на тираже классификацию не затрагивает: k-NN использует эмбеддер поиска.</t>
        </is>
      </c>
      <c r="P5" s="19" t="n"/>
      <c r="Q5" s="19" t="n"/>
      <c r="R5" s="9" t="n"/>
      <c r="S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E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F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G6" s="9" t="inlineStr">
        <is>
          <t>Отдельный контейнер `llm-gateway`; через него ходят и Backend, и агент записи.</t>
        </is>
      </c>
      <c r="H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I6" s="9" t="inlineStr">
        <is>
          <t>Единый обязательный путь для всех потребителей: обхода обезличивания на Этапе 2 быть не должно.</t>
        </is>
      </c>
      <c r="J6" s="12" t="n">
        <v>3</v>
      </c>
      <c r="K6" s="12" t="n">
        <v>5</v>
      </c>
      <c r="L6" s="13" t="inlineStr">
        <is>
          <t>Оценка автора</t>
        </is>
      </c>
      <c r="M6" s="14" t="inlineStr">
        <is>
          <t>Без изменений</t>
        </is>
      </c>
      <c r="N6" s="15" t="n"/>
      <c r="O6" s="15" t="n"/>
      <c r="P6" s="16" t="n"/>
      <c r="Q6" s="16" t="n"/>
      <c r="R6" s="15" t="n"/>
      <c r="S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E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F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G7" s="14" t="inlineStr">
        <is>
          <t>Без изменений</t>
        </is>
      </c>
      <c r="H7" s="15" t="n"/>
      <c r="I7" s="15" t="n"/>
      <c r="J7" s="16" t="n"/>
      <c r="K7" s="16" t="n"/>
      <c r="L7" s="15" t="n"/>
      <c r="M7" s="14" t="inlineStr">
        <is>
          <t>Без изменений</t>
        </is>
      </c>
      <c r="N7" s="15" t="n"/>
      <c r="O7" s="15" t="n"/>
      <c r="P7" s="16" t="n"/>
      <c r="Q7" s="16" t="n"/>
      <c r="R7" s="15" t="n"/>
      <c r="S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E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F8" s="9" t="inlineStr">
        <is>
          <t>Судья слабый, оценка предварительная (provisional): пороги качества не откалиброваны на размеченном наборе.</t>
        </is>
      </c>
      <c r="G8" s="9" t="inlineStr">
        <is>
          <t>Судья на другом провайдере, чем отвечающая модель; калибровка порогов.</t>
        </is>
      </c>
      <c r="H8" s="9" t="inlineStr">
        <is>
          <t>YandexGPT как судья при GigaChat Pro в роли отвечающей модели.</t>
        </is>
      </c>
      <c r="I8" s="9" t="inlineStr">
        <is>
          <t>Независимость оценки обеспечена конструктивно, а не договорённостью.</t>
        </is>
      </c>
      <c r="J8" s="17" t="n">
        <v>2</v>
      </c>
      <c r="K8" s="17" t="n">
        <v>3</v>
      </c>
      <c r="L8" s="18" t="inlineStr">
        <is>
          <t>Из блока ADR-600: Качество поиска и классификации</t>
        </is>
      </c>
      <c r="M8" s="14" t="inlineStr">
        <is>
          <t>Без изменений</t>
        </is>
      </c>
      <c r="N8" s="15" t="n"/>
      <c r="O8" s="15" t="n"/>
      <c r="P8" s="16" t="n"/>
      <c r="Q8" s="16" t="n"/>
      <c r="R8" s="15" t="n"/>
      <c r="S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E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F9" s="9" t="inlineStr">
        <is>
          <t>Качество ответов не измерено на собственном эталонном наборе; выбор модели по репутации.</t>
        </is>
      </c>
      <c r="G9" s="9" t="inlineStr">
        <is>
          <t>GigaChat Pro как основная, YandexGPT как резерв с автопереключением.</t>
        </is>
      </c>
      <c r="H9" s="9" t="inlineStr">
        <is>
          <t>Управляемые API в РФ через LLM Gateway.</t>
        </is>
      </c>
      <c r="I9" s="9" t="inlineStr">
        <is>
          <t>Ранее выбран основным по совокупности; резерв защищает от отказа провайдера.</t>
        </is>
      </c>
      <c r="J9" s="12" t="n">
        <v>3</v>
      </c>
      <c r="K9" s="12" t="n">
        <v>5</v>
      </c>
      <c r="L9" s="13" t="inlineStr">
        <is>
          <t>Оценка автора</t>
        </is>
      </c>
      <c r="M9" s="9" t="inlineStr">
        <is>
          <t>Собственная модель в закрытом контуре, внешние API остаются до срабатывания триггера.</t>
        </is>
      </c>
      <c r="N9" s="9" t="inlineStr">
        <is>
          <t>Qwen2.5-32B INT4, vLLM, 1× GPU A100 80 ГБ.</t>
        </is>
      </c>
      <c r="O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P9" s="20" t="n">
        <v>5</v>
      </c>
      <c r="Q9" s="20" t="n">
        <v>10</v>
      </c>
      <c r="R9" s="21" t="inlineStr">
        <is>
          <t>ADR-600</t>
        </is>
      </c>
      <c r="S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E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F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G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H10" s="9" t="inlineStr">
        <is>
          <t>BGE-M3, сервис `embedding-inference` на узле с GPU.</t>
        </is>
      </c>
      <c r="I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J10" s="17" t="n">
        <v>3</v>
      </c>
      <c r="K10" s="17" t="n">
        <v>4</v>
      </c>
      <c r="L10" s="18" t="inlineStr">
        <is>
          <t>Из блока ADR-600: Качество поиска и классификации</t>
        </is>
      </c>
      <c r="M10" s="9" t="inlineStr">
        <is>
          <t>Как на MVP (изменений нет).</t>
        </is>
      </c>
      <c r="N10" s="9" t="inlineStr">
        <is>
          <t>BGE-M3 на том же GPU-пуле.</t>
        </is>
      </c>
      <c r="O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P10" s="19" t="n"/>
      <c r="Q10" s="19" t="n"/>
      <c r="R10" s="9" t="n"/>
      <c r="S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E11" s="9" t="inlineStr">
        <is>
          <t>Поиск без переранжирования (топ-3 сразу из косинуса) — единственный вариант на CPU.</t>
        </is>
      </c>
      <c r="F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G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H11" s="9" t="inlineStr">
        <is>
          <t>BGE-reranker-v2-m3, сервис `reranker-inference` на GPU.</t>
        </is>
      </c>
      <c r="I11" s="9" t="inlineStr">
        <is>
          <t>Уточнение выдачи; на GPU укладывается в бюджет задержки.</t>
        </is>
      </c>
      <c r="J11" s="17" t="n">
        <v>2</v>
      </c>
      <c r="K11" s="17" t="n">
        <v>3</v>
      </c>
      <c r="L11" s="18" t="inlineStr">
        <is>
          <t>Из блока ADR-600: Качество поиска и классификации</t>
        </is>
      </c>
      <c r="M11" s="14" t="inlineStr">
        <is>
          <t>Без изменений</t>
        </is>
      </c>
      <c r="N11" s="15" t="n"/>
      <c r="O11" s="15" t="n"/>
      <c r="P11" s="16" t="n"/>
      <c r="Q11" s="16" t="n"/>
      <c r="R11" s="15" t="n"/>
      <c r="S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E12" s="9" t="inlineStr">
        <is>
          <t>pgvector: не тянет фильтрацию по payload на нужном объёме. Milvus: тяжелее в эксплуатации при том же результате.</t>
        </is>
      </c>
      <c r="F12" s="9" t="inlineStr">
        <is>
          <t>Образ в compose не привязан к версии (`latest`) — для продакшена версию надо зафиксировать.</t>
        </is>
      </c>
      <c r="G12" s="9" t="inlineStr">
        <is>
          <t>Qdrant self-hosted в Kubernetes на быстром диске, с резервным копированием.</t>
        </is>
      </c>
      <c r="H12" s="9" t="inlineStr">
        <is>
          <t>Qdrant, StatefulSet + PVC на NVMe.</t>
        </is>
      </c>
      <c r="I12" s="9" t="inlineStr">
        <is>
          <t>Целевое хранилище векторов; миграция — смена конфигурации, код уже проверен на реальном сервере.</t>
        </is>
      </c>
      <c r="J12" s="12" t="n">
        <v>3</v>
      </c>
      <c r="K12" s="12" t="n">
        <v>5</v>
      </c>
      <c r="L12" s="13" t="inlineStr">
        <is>
          <t>Оценка автора</t>
        </is>
      </c>
      <c r="M12" s="14" t="inlineStr">
        <is>
          <t>Без изменений</t>
        </is>
      </c>
      <c r="N12" s="15" t="n"/>
      <c r="O12" s="15" t="n"/>
      <c r="P12" s="16" t="n"/>
      <c r="Q12" s="16" t="n"/>
      <c r="R12" s="15" t="n"/>
      <c r="S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E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F13" s="9" t="inlineStr">
        <is>
          <t>Периодического пересчёта из живых систем на прототипе нет: данные — слепок из присланного примера.</t>
        </is>
      </c>
      <c r="G13" s="9" t="inlineStr">
        <is>
          <t>Пересчёт агрегата по расписанию из Биллинга (XML-RPC) и Диспетчерской (REST).</t>
        </is>
      </c>
      <c r="H13" s="9" t="inlineStr">
        <is>
          <t>Kubernetes CronJob → Postgres (материализованное представление) + Redis.</t>
        </is>
      </c>
      <c r="I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J13" s="12" t="n">
        <v>5</v>
      </c>
      <c r="K13" s="12" t="n">
        <v>8</v>
      </c>
      <c r="L13" s="13" t="inlineStr">
        <is>
          <t>Оценка автора</t>
        </is>
      </c>
      <c r="M13" s="14" t="inlineStr">
        <is>
          <t>Без изменений</t>
        </is>
      </c>
      <c r="N13" s="15" t="n"/>
      <c r="O13" s="15" t="n"/>
      <c r="P13" s="16" t="n"/>
      <c r="Q13" s="16" t="n"/>
      <c r="R13" s="15" t="n"/>
      <c r="S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E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F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G14" s="9" t="inlineStr">
        <is>
          <t>Redis в кластере на постоянном диске.</t>
        </is>
      </c>
      <c r="H14" s="9" t="inlineStr">
        <is>
          <t>Redis, StatefulSet + PVC.</t>
        </is>
      </c>
      <c r="I14" s="9" t="inlineStr">
        <is>
          <t>Состояние и счётчики должны переживать перезапуск пода.</t>
        </is>
      </c>
      <c r="J14" s="12" t="n">
        <v>2</v>
      </c>
      <c r="K14" s="12" t="n">
        <v>3</v>
      </c>
      <c r="L14" s="13" t="inlineStr">
        <is>
          <t>Оценка автора</t>
        </is>
      </c>
      <c r="M14" s="14" t="inlineStr">
        <is>
          <t>Без изменений</t>
        </is>
      </c>
      <c r="N14" s="15" t="n"/>
      <c r="O14" s="15" t="n"/>
      <c r="P14" s="16" t="n"/>
      <c r="Q14" s="16" t="n"/>
      <c r="R14" s="15" t="n"/>
      <c r="S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 16 в `docker compose`: слепки Биллинга, ЛК и обращений, таблицы обращений, `usage_events`, `quality_reports`.</t>
        </is>
      </c>
      <c r="E15" s="9" t="inlineStr">
        <is>
          <t>Одна база вместо двух на объёме одного стенда.</t>
        </is>
      </c>
      <c r="F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G15" s="9" t="inlineStr">
        <is>
          <t>Postgres в Kubernetes только для состояния и обращений; слепки уходят — данные идут через API владельцев.</t>
        </is>
      </c>
      <c r="H15" s="9" t="inlineStr">
        <is>
          <t>Postgres, StatefulSet + PVC, резервное копирование.</t>
        </is>
      </c>
      <c r="I15" s="9" t="inlineStr">
        <is>
          <t>Целевая схема: своей копии чужих данных быть не должно.</t>
        </is>
      </c>
      <c r="J15" s="12" t="n">
        <v>3</v>
      </c>
      <c r="K15" s="12" t="n">
        <v>5</v>
      </c>
      <c r="L15" s="13" t="inlineStr">
        <is>
          <t>Оценка автора</t>
        </is>
      </c>
      <c r="M15" s="14" t="inlineStr">
        <is>
          <t>Без изменений</t>
        </is>
      </c>
      <c r="N15" s="15" t="n"/>
      <c r="O15" s="15" t="n"/>
      <c r="P15" s="16" t="n"/>
      <c r="Q15" s="16" t="n"/>
      <c r="R15" s="15" t="n"/>
      <c r="S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Не развёрнут: те же таблицы (`usage_events`, `quality_reports`) лежат в Postgres; запись — best-effort, не роняет ответ.</t>
        </is>
      </c>
      <c r="E16" s="9" t="inlineStr">
        <is>
          <t>ClickHouse с первого дня — вторая СУБД ради объёма одного стенда.</t>
        </is>
      </c>
      <c r="F16" s="9" t="inlineStr">
        <is>
          <t>Произвольная нарезка аналитики (по абоненту, типу, модели) на объёме MVP в Postgres будет тормозить.</t>
        </is>
      </c>
      <c r="G16" s="9" t="inlineStr">
        <is>
          <t>Аналитика токенов, стоимости и качества в ClickHouse, запись асинхронной пачкой.</t>
        </is>
      </c>
      <c r="H16" s="9" t="inlineStr">
        <is>
          <t>ClickHouse, StatefulSet + PVC.</t>
        </is>
      </c>
      <c r="I16" s="9" t="inlineStr">
        <is>
          <t>Целевое хранилище телеметрии; переезд — смена DSN и диалекта запросов записи, не бизнес-логики.</t>
        </is>
      </c>
      <c r="J16" s="12" t="n">
        <v>2</v>
      </c>
      <c r="K16" s="12" t="n">
        <v>4</v>
      </c>
      <c r="L16" s="13" t="inlineStr">
        <is>
          <t>Оценка автора</t>
        </is>
      </c>
      <c r="M16" s="14" t="inlineStr">
        <is>
          <t>Без изменений</t>
        </is>
      </c>
      <c r="N16" s="15" t="n"/>
      <c r="O16" s="15" t="n"/>
      <c r="P16" s="16" t="n"/>
      <c r="Q16" s="16" t="n"/>
      <c r="R16" s="15" t="n"/>
      <c r="S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E17" s="9" t="inlineStr">
        <is>
          <t>Airflow отклонён: для редких некритичных по задержке обновлений хватает планировщика (Celery Beat / CronJob).</t>
        </is>
      </c>
      <c r="F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G17" s="9" t="inlineStr">
        <is>
          <t>Ночное окно 02:00–05:00: забор документов, очистка, эмбеддинги на GPU, полный реиндекс.</t>
        </is>
      </c>
      <c r="H17" s="9" t="inlineStr">
        <is>
          <t>Kubernetes CronJob (Celery Beat), окно обслуживания, жёсткая граница по времени.</t>
        </is>
      </c>
      <c r="I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J17" s="12" t="n">
        <v>4</v>
      </c>
      <c r="K17" s="12" t="n">
        <v>6</v>
      </c>
      <c r="L17" s="13" t="inlineStr">
        <is>
          <t>Оценка автора</t>
        </is>
      </c>
      <c r="M17" s="9" t="inlineStr">
        <is>
          <t>Изоляция GPU между индексацией и онлайн-инференсом.</t>
        </is>
      </c>
      <c r="N17" s="9" t="inlineStr">
        <is>
          <t>Приоритетные очереди либо отдельный GPU-пул.</t>
        </is>
      </c>
      <c r="O17" s="9" t="inlineStr">
        <is>
          <t>Появляется вторая постоянная нагрузка на GPU (генерация), и индексация не должна её задерживать.</t>
        </is>
      </c>
      <c r="P17" s="12" t="n">
        <v>3</v>
      </c>
      <c r="Q17" s="12" t="n">
        <v>5</v>
      </c>
      <c r="R17" s="13" t="inlineStr">
        <is>
          <t>Оценка автора</t>
        </is>
      </c>
      <c r="S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E18" s="9" t="inlineStr">
        <is>
          <t>LangGraph — кандидат, не выбран: усложнение ради возможностей, которые пока не нужны.</t>
        </is>
      </c>
      <c r="F18" s="9" t="inlineStr">
        <is>
          <t>Оценка function-calling у провайдеров РФ для роли агента — открытый вопрос.</t>
        </is>
      </c>
      <c r="G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H18" s="9" t="inlineStr">
        <is>
          <t>Свой FSM, Draft Validator, Audit Writer, Session State Store.</t>
        </is>
      </c>
      <c r="I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J18" s="17" t="n">
        <v>4</v>
      </c>
      <c r="K18" s="17" t="n">
        <v>6</v>
      </c>
      <c r="L18" s="18" t="inlineStr">
        <is>
          <t>Из блока ADR-600: Основная разработка Этапа 2</t>
        </is>
      </c>
      <c r="M18" s="9" t="inlineStr">
        <is>
          <t>Оценка function-calling для роли агента у провайдеров РФ.</t>
        </is>
      </c>
      <c r="N18" s="9" t="inlineStr">
        <is>
          <t>Прогон эталонных сценариев через кандидатов.</t>
        </is>
      </c>
      <c r="O18" s="9" t="inlineStr">
        <is>
          <t>От результата зависит, можно ли доверить агенту роль на self-hosted модели.</t>
        </is>
      </c>
      <c r="P18" s="20" t="n">
        <v>5</v>
      </c>
      <c r="Q18" s="20" t="n">
        <v>5</v>
      </c>
      <c r="R18" s="21" t="inlineStr">
        <is>
          <t>ADR-600</t>
        </is>
      </c>
      <c r="S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Не реализован (запись отложена на Этап 2). Чтение идёт из слепка в Postgres.</t>
        </is>
      </c>
      <c r="E19" s="9" t="inlineStr">
        <is>
          <t>Прямой доступ к чужой БД запрещён: только через API владельца.</t>
        </is>
      </c>
      <c r="F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G19" s="9" t="inlineStr">
        <is>
          <t>Запись показаний и операций в Биллинг через XML-RPC с ключом идемпотентности.</t>
        </is>
      </c>
      <c r="H19" s="9" t="inlineStr">
        <is>
          <t>Отдельный контейнер `Billing Adapter`, XML-RPC API Биллинга.</t>
        </is>
      </c>
      <c r="I19" s="9" t="inlineStr">
        <is>
          <t>Единственный разрешённый путь записи в Биллинг; повтор запроса не создаёт дубль.</t>
        </is>
      </c>
      <c r="J19" s="17" t="n">
        <v>4</v>
      </c>
      <c r="K19" s="17" t="n">
        <v>6</v>
      </c>
      <c r="L19" s="18" t="inlineStr">
        <is>
          <t>Из блока ADR-600: Основная разработка Этапа 2</t>
        </is>
      </c>
      <c r="M19" s="14" t="inlineStr">
        <is>
          <t>Без изменений</t>
        </is>
      </c>
      <c r="N19" s="15" t="n"/>
      <c r="O19" s="15" t="n"/>
      <c r="P19" s="16" t="n"/>
      <c r="Q19" s="16" t="n"/>
      <c r="R19" s="15" t="n"/>
      <c r="S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Обращение пишется в собственную таблицу Postgres, минуя Orchestrator (`app/inquiries/store.py`).</t>
        </is>
      </c>
      <c r="E20" s="9" t="inlineStr">
        <is>
          <t>Целевой путь — внешний микросервис обращений; на прототипе доступа к нему нет.</t>
        </is>
      </c>
      <c r="F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G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H20" s="9" t="inlineStr">
        <is>
          <t>Отдельный контейнер, Route Selector: emergency → Диспетчерская, остальные типы → микросервис.</t>
        </is>
      </c>
      <c r="I20" s="9" t="inlineStr">
        <is>
          <t>Обращения должны попадать в систему-владельца, откуда их читают подрядчики и конвейер дообучения.</t>
        </is>
      </c>
      <c r="J20" s="17" t="n">
        <v>3</v>
      </c>
      <c r="K20" s="17" t="n">
        <v>5</v>
      </c>
      <c r="L20" s="18" t="inlineStr">
        <is>
          <t>Из блока ADR-600: Основная разработка Этапа 2</t>
        </is>
      </c>
      <c r="M20" s="14" t="inlineStr">
        <is>
          <t>Без изменений</t>
        </is>
      </c>
      <c r="N20" s="15" t="n"/>
      <c r="O20" s="15" t="n"/>
      <c r="P20" s="16" t="n"/>
      <c r="Q20" s="16" t="n"/>
      <c r="R20" s="15" t="n"/>
      <c r="S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Готовый бланк отдаётся HTML-листом для печати из каталога (семь образцов по ПП РФ № 644/776).</t>
        </is>
      </c>
      <c r="E21" s="9" t="inlineStr">
        <is>
          <t>PDF и S3/MinIO нужны только при путях записи — для консультации избыточны.</t>
        </is>
      </c>
      <c r="F21" s="9" t="inlineStr">
        <is>
          <t>Настоящие бланки заявлений не согласованы с владельцем — используются образцы.</t>
        </is>
      </c>
      <c r="G21" s="9" t="inlineStr">
        <is>
          <t>Рендер PDF из шаблона и слотов, хранение в объектном хранилище, ссылка с ограниченным сроком жизни.</t>
        </is>
      </c>
      <c r="H21" s="9" t="inlineStr">
        <is>
          <t>Генерация PDF (библиотека в ADR не выбрана) + S3 / MinIO.</t>
        </is>
      </c>
      <c r="I21" s="9" t="inlineStr">
        <is>
          <t>Документ, вложенный в диалог, должен быть файлом, а не страницей печати.</t>
        </is>
      </c>
      <c r="J21" s="17" t="n">
        <v>3</v>
      </c>
      <c r="K21" s="17" t="n">
        <v>4</v>
      </c>
      <c r="L21" s="18" t="inlineStr">
        <is>
          <t>Из блока ADR-600: Основная разработка Этапа 2</t>
        </is>
      </c>
      <c r="M21" s="14" t="inlineStr">
        <is>
          <t>Без изменений</t>
        </is>
      </c>
      <c r="N21" s="15" t="n"/>
      <c r="O21" s="15" t="n"/>
      <c r="P21" s="16" t="n"/>
      <c r="Q21" s="16" t="n"/>
      <c r="R21" s="15" t="n"/>
      <c r="S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`docker compose` на одной машине: postgres, redis, qdrant, reindex, backend.</t>
        </is>
      </c>
      <c r="E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F22" s="9" t="inlineStr">
        <is>
          <t>Целевая платформа (Kubernetes) пока только подразумевается, отдельного ADR нет.</t>
        </is>
      </c>
      <c r="G22" s="9" t="inlineStr">
        <is>
          <t>Kubernetes на собственном железе в закрытом контуре: пространства имён, Ingress, TLS-сертификаты.</t>
        </is>
      </c>
      <c r="H22" s="9" t="inlineStr">
        <is>
          <t>Kubernetes, nginx Ingress, cert-manager.</t>
        </is>
      </c>
      <c r="I22" s="9" t="inlineStr">
        <is>
          <t>Отказоустойчивость и обновления без остановки; требование целевого развёртывания.</t>
        </is>
      </c>
      <c r="J22" s="12" t="n">
        <v>10</v>
      </c>
      <c r="K22" s="12" t="n">
        <v>15</v>
      </c>
      <c r="L22" s="13" t="inlineStr">
        <is>
          <t>Оценка автора</t>
        </is>
      </c>
      <c r="M22" s="9" t="inlineStr">
        <is>
          <t>Формализация целевой инфраплатформы отдельным ADR.</t>
        </is>
      </c>
      <c r="N22" s="9" t="inlineStr">
        <is>
          <t>—</t>
        </is>
      </c>
      <c r="O22" s="9" t="inlineStr">
        <is>
          <t>Kubernetes сейчас лишь подразумевается; для тиража нужна зафиксированная платформа, включая GPU-пулы.</t>
        </is>
      </c>
      <c r="P22" s="20" t="n">
        <v>2</v>
      </c>
      <c r="Q22" s="20" t="n">
        <v>3</v>
      </c>
      <c r="R22" s="21" t="inlineStr">
        <is>
          <t>ADR-600</t>
        </is>
      </c>
      <c r="S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E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F23" s="9" t="inlineStr">
        <is>
          <t>Dev-режим Vault сам по себе не безопаснее переменной окружения — это репетиция интеграции, а не защита.</t>
        </is>
      </c>
      <c r="G23" s="9" t="inlineStr">
        <is>
          <t>Vault Agent Injector: секреты попадают в под через sidecar.</t>
        </is>
      </c>
      <c r="H23" s="9" t="inlineStr">
        <is>
          <t>HashiCorp Vault в Kubernetes.</t>
        </is>
      </c>
      <c r="I23" s="9" t="inlineStr">
        <is>
          <t>Единый источник истины и отзыв доступа без пересборки образа.</t>
        </is>
      </c>
      <c r="J23" s="12" t="n">
        <v>3</v>
      </c>
      <c r="K23" s="12" t="n">
        <v>5</v>
      </c>
      <c r="L23" s="13" t="inlineStr">
        <is>
          <t>Оценка автора</t>
        </is>
      </c>
      <c r="M23" s="14" t="inlineStr">
        <is>
          <t>Без изменений</t>
        </is>
      </c>
      <c r="N23" s="15" t="n"/>
      <c r="O23" s="15" t="n"/>
      <c r="P23" s="16" t="n"/>
      <c r="Q23" s="16" t="n"/>
      <c r="R23" s="15" t="n"/>
      <c r="S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Метрики Prometheus на отдельном порту, события потока в панели стенда. Дашбордов и сбора логов нет.</t>
        </is>
      </c>
      <c r="E24" s="9" t="inlineStr">
        <is>
          <t>—</t>
        </is>
      </c>
      <c r="F24" s="9" t="inlineStr">
        <is>
          <t>Метрики есть, но собирать и показывать их нечему.</t>
        </is>
      </c>
      <c r="G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H24" s="9" t="inlineStr">
        <is>
          <t>Prometheus, Grafana, Loki, Alertmanager.</t>
        </is>
      </c>
      <c r="I24" s="9" t="inlineStr">
        <is>
          <t>Без этого нельзя измерять задержку ответа (P99), долю отказов и утечки ПДн на реальных абонентах.</t>
        </is>
      </c>
      <c r="J24" s="12" t="n">
        <v>5</v>
      </c>
      <c r="K24" s="12" t="n">
        <v>8</v>
      </c>
      <c r="L24" s="13" t="inlineStr">
        <is>
          <t>Оценка автора</t>
        </is>
      </c>
      <c r="M24" s="14" t="inlineStr">
        <is>
          <t>Без изменений</t>
        </is>
      </c>
      <c r="N24" s="15" t="n"/>
      <c r="O24" s="15" t="n"/>
      <c r="P24" s="16" t="n"/>
      <c r="Q24" s="16" t="n"/>
      <c r="R24" s="15" t="n"/>
      <c r="S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HTTP + поток SSE; контракт описан в OpenAPI (`API_Spec.yaml`), идентификатор абонента — в метаданных запроса.</t>
        </is>
      </c>
      <c r="E25" s="9" t="inlineStr">
        <is>
          <t>—</t>
        </is>
      </c>
      <c r="F25" s="9" t="inlineStr">
        <is>
          <t>Идентификатор абонента передаёт сам клиент — для стенда допустимо, для продакшена нет.</t>
        </is>
      </c>
      <c r="G25" s="14" t="inlineStr">
        <is>
          <t>Без изменений</t>
        </is>
      </c>
      <c r="H25" s="15" t="n"/>
      <c r="I25" s="15" t="inlineStr">
        <is>
          <t>Протокол тот же; токен SSO — в строке про связь с ЛК.</t>
        </is>
      </c>
      <c r="J25" s="16" t="n"/>
      <c r="K25" s="16" t="n"/>
      <c r="L25" s="15" t="n"/>
      <c r="M25" s="14" t="inlineStr">
        <is>
          <t>Без изменений</t>
        </is>
      </c>
      <c r="N25" s="15" t="n"/>
      <c r="O25" s="15" t="n"/>
      <c r="P25" s="16" t="n"/>
      <c r="Q25" s="16" t="n"/>
      <c r="R25" s="15" t="n"/>
      <c r="S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Не подключена: абонент выбирается из справочника стенда.</t>
        </is>
      </c>
      <c r="E26" s="9" t="inlineStr">
        <is>
          <t>—</t>
        </is>
      </c>
      <c r="F26" s="9" t="inlineStr">
        <is>
          <t>Настоящей SSO-сессии нет; Auth &amp; Session Middleware — целевой компонент.</t>
        </is>
      </c>
      <c r="G26" s="9" t="inlineStr">
        <is>
          <t>Профиль и сессия абонента берутся из личного кабинета при открытии диалога.</t>
        </is>
      </c>
      <c r="H26" s="9" t="inlineStr">
        <is>
          <t>SSO Платформы ЛК, Auth &amp; Session Middleware в Backend.</t>
        </is>
      </c>
      <c r="I26" s="9" t="inlineStr">
        <is>
          <t>Идентификатор абонента должен приходить от доверенной системы, а не от клиента.</t>
        </is>
      </c>
      <c r="J26" s="17" t="n">
        <v>3</v>
      </c>
      <c r="K26" s="17" t="n">
        <v>5</v>
      </c>
      <c r="L26" s="18" t="inlineStr">
        <is>
          <t>Из блока ADR-600: Основная разработка Этапа 2</t>
        </is>
      </c>
      <c r="M26" s="14" t="inlineStr">
        <is>
          <t>Без изменений</t>
        </is>
      </c>
      <c r="N26" s="15" t="n"/>
      <c r="O26" s="15" t="n"/>
      <c r="P26" s="16" t="n"/>
      <c r="Q26" s="16" t="n"/>
      <c r="R26" s="15" t="n"/>
      <c r="S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Чтение из слепка Биллинга в Postgres; для лицевого счёта: долг, начисления, показания, поверка.</t>
        </is>
      </c>
      <c r="E27" s="9" t="inlineStr">
        <is>
          <t>Прямое чтение чужой БД запрещено: только через API владельца.</t>
        </is>
      </c>
      <c r="F27" s="9" t="inlineStr">
        <is>
          <t>Сигнатуры API Биллинга от владельца не получены.</t>
        </is>
      </c>
      <c r="G27" s="9" t="inlineStr">
        <is>
          <t>Свежие факты запрашиваются у Биллинга в момент вопроса.</t>
        </is>
      </c>
      <c r="H27" s="9" t="inlineStr">
        <is>
          <t>XML-RPC API Биллинга.</t>
        </is>
      </c>
      <c r="I27" s="9" t="inlineStr">
        <is>
          <t>Единственный способ доступа к Биллингу; обходит задержку кэша ради свежести.</t>
        </is>
      </c>
      <c r="J27" s="20" t="n">
        <v>1</v>
      </c>
      <c r="K27" s="20" t="n">
        <v>2</v>
      </c>
      <c r="L27" s="21" t="inlineStr">
        <is>
          <t>ADR-600</t>
        </is>
      </c>
      <c r="M27" s="14" t="inlineStr">
        <is>
          <t>Без изменений</t>
        </is>
      </c>
      <c r="N27" s="15" t="n"/>
      <c r="O27" s="15" t="n"/>
      <c r="P27" s="16" t="n"/>
      <c r="Q27" s="16" t="n"/>
      <c r="R27" s="15" t="n"/>
      <c r="S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E28" s="9" t="inlineStr">
        <is>
          <t>Прямой доступ к чужой БД запрещён.</t>
        </is>
      </c>
      <c r="F28" s="9" t="inlineStr">
        <is>
          <t>Сигнатуры REST API Диспетчерской от владельца не получены.</t>
        </is>
      </c>
      <c r="G28" s="9" t="inlineStr">
        <is>
          <t>Чтение статуса аварийной заявки и зоны по API; запись аварийной заявки после подтверждения абонента.</t>
        </is>
      </c>
      <c r="H28" s="9" t="inlineStr">
        <is>
          <t>REST API Диспетчерской.</t>
        </is>
      </c>
      <c r="I28" s="9" t="inlineStr">
        <is>
          <t>Единственный разрешённый путь; аварии должны попадать сразу в диспетчерскую.</t>
        </is>
      </c>
      <c r="J28" s="20" t="n">
        <v>1</v>
      </c>
      <c r="K28" s="20" t="n">
        <v>2</v>
      </c>
      <c r="L28" s="21" t="inlineStr">
        <is>
          <t>ADR-600</t>
        </is>
      </c>
      <c r="M28" s="14" t="inlineStr">
        <is>
          <t>Без изменений</t>
        </is>
      </c>
      <c r="N28" s="15" t="n"/>
      <c r="O28" s="15" t="n"/>
      <c r="P28" s="16" t="n"/>
      <c r="Q28" s="16" t="n"/>
      <c r="R28" s="15" t="n"/>
      <c r="S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Вызов внутри одного процесса.</t>
        </is>
      </c>
      <c r="E29" s="9" t="inlineStr">
        <is>
          <t>—</t>
        </is>
      </c>
      <c r="F29" s="9" t="inlineStr">
        <is>
          <t>—</t>
        </is>
      </c>
      <c r="G29" s="9" t="inlineStr">
        <is>
          <t>Вызов по сети между контейнерами; OpenAI-совместимый протокол.</t>
        </is>
      </c>
      <c r="H29" s="9" t="inlineStr">
        <is>
          <t>HTTP внутри кластера.</t>
        </is>
      </c>
      <c r="I29" s="9" t="inlineStr">
        <is>
          <t>Следствие выноса шлюза в отдельный контейнер (см. строку LLM Gateway).</t>
        </is>
      </c>
      <c r="J29" s="19" t="n"/>
      <c r="K29" s="19" t="n"/>
      <c r="L29" s="9" t="n"/>
      <c r="M29" s="14" t="inlineStr">
        <is>
          <t>Без изменений</t>
        </is>
      </c>
      <c r="N29" s="15" t="n"/>
      <c r="O29" s="15" t="n"/>
      <c r="P29" s="16" t="n"/>
      <c r="Q29" s="16" t="n"/>
      <c r="R29" s="15" t="n"/>
      <c r="S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HTTP (порт 6333); запись — отдельным сервисом, Backend только читает готовый индекс.</t>
        </is>
      </c>
      <c r="E30" s="9" t="inlineStr">
        <is>
          <t>—</t>
        </is>
      </c>
      <c r="F30" s="9" t="inlineStr">
        <is>
          <t>—</t>
        </is>
      </c>
      <c r="G30" s="14" t="inlineStr">
        <is>
          <t>Без изменений</t>
        </is>
      </c>
      <c r="H30" s="15" t="n"/>
      <c r="I30" s="15" t="n"/>
      <c r="J30" s="16" t="n"/>
      <c r="K30" s="16" t="n"/>
      <c r="L30" s="15" t="n"/>
      <c r="M30" s="14" t="inlineStr">
        <is>
          <t>Без изменений</t>
        </is>
      </c>
      <c r="N30" s="15" t="n"/>
      <c r="O30" s="15" t="n"/>
      <c r="P30" s="16" t="n"/>
      <c r="Q30" s="16" t="n"/>
      <c r="R30" s="15" t="n"/>
      <c r="S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HTTPS с проверкой сертификата: YandexGPT (сертификаты доступны). Проверка TLS не отключается никогда.</t>
        </is>
      </c>
      <c r="E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F31" s="9" t="inlineStr">
        <is>
          <t>Для GigaChat нужны корневые сертификаты НУЦ Минцифры — на машине прототипа их нет.</t>
        </is>
      </c>
      <c r="G31" s="9" t="inlineStr">
        <is>
          <t>Канал к GigaChat с корневыми сертификатами НУЦ в образе шлюза; автопереключение на резерв.</t>
        </is>
      </c>
      <c r="H31" s="9" t="inlineStr">
        <is>
          <t>HTTPS, сертификаты НУЦ Минцифры.</t>
        </is>
      </c>
      <c r="I31" s="9" t="inlineStr">
        <is>
          <t>Основной провайдер MVP — GigaChat Pro (входит в работу по строке LLM Provider).</t>
        </is>
      </c>
      <c r="J31" s="19" t="n"/>
      <c r="K31" s="19" t="n"/>
      <c r="L31" s="9" t="n"/>
      <c r="M31" s="9" t="inlineStr">
        <is>
          <t>Вызов собственной модели внутри закрытого контура.</t>
        </is>
      </c>
      <c r="N31" s="9" t="inlineStr">
        <is>
          <t>OpenAI-совместимый интерфейс vLLM внутри сети водоканала.</t>
        </is>
      </c>
      <c r="O31" s="9" t="inlineStr">
        <is>
          <t>Данные не покидают периметр вообще, а не только территорию РФ.</t>
        </is>
      </c>
      <c r="P31" s="19" t="n"/>
      <c r="Q31" s="19" t="n"/>
      <c r="R31" s="9" t="n"/>
      <c r="S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E32" s="9" t="inlineStr">
        <is>
          <t>—</t>
        </is>
      </c>
      <c r="F32" s="9" t="inlineStr">
        <is>
          <t>—</t>
        </is>
      </c>
      <c r="G32" s="14" t="inlineStr">
        <is>
          <t>Без изменений</t>
        </is>
      </c>
      <c r="H32" s="15" t="n"/>
      <c r="I32" s="15" t="inlineStr">
        <is>
          <t>Механизм переносится как есть; окно 02:00–05:00 описано в строке про индексацию.</t>
        </is>
      </c>
      <c r="J32" s="16" t="n"/>
      <c r="K32" s="16" t="n"/>
      <c r="L32" s="15" t="n"/>
      <c r="M32" s="14" t="inlineStr">
        <is>
          <t>Без изменений</t>
        </is>
      </c>
      <c r="N32" s="15" t="n"/>
      <c r="O32" s="15" t="n"/>
      <c r="P32" s="16" t="n"/>
      <c r="Q32" s="16" t="n"/>
      <c r="R32" s="15" t="n"/>
      <c r="S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Есть прогнозная модель, не смета: числа не утверждены владельцем (открытый P0).</t>
        </is>
      </c>
      <c r="E33" s="9" t="inlineStr">
        <is>
          <t>—</t>
        </is>
      </c>
      <c r="F33" s="9" t="inlineStr">
        <is>
          <t>Разброс оценок нагрузки — 25-кратный; без статистики ЛК и колл-центра смета остаётся диапазоном.</t>
        </is>
      </c>
      <c r="G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H33" s="9" t="inlineStr">
        <is>
          <t>—</t>
        </is>
      </c>
      <c r="I33" s="9" t="inlineStr">
        <is>
          <t>Без этого нельзя защищать бюджет.</t>
        </is>
      </c>
      <c r="J33" s="24" t="n">
        <v>7.5</v>
      </c>
      <c r="K33" s="17" t="n">
        <v>10</v>
      </c>
      <c r="L33" s="18" t="inlineStr">
        <is>
          <t>Из блока ADR-600: P0</t>
        </is>
      </c>
      <c r="M33" s="14" t="inlineStr">
        <is>
          <t>Без изменений</t>
        </is>
      </c>
      <c r="N33" s="15" t="n"/>
      <c r="O33" s="15" t="inlineStr">
        <is>
          <t>Пересчёт NFR под 90 000 абонентов уже сделан.</t>
        </is>
      </c>
      <c r="P33" s="16" t="n"/>
      <c r="Q33" s="16" t="n"/>
      <c r="R33" s="15" t="n"/>
      <c r="S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E34" s="9" t="inlineStr">
        <is>
          <t>—</t>
        </is>
      </c>
      <c r="F34" s="9" t="inlineStr">
        <is>
          <t>Календарный срок определяет владелец, не команда.</t>
        </is>
      </c>
      <c r="G34" s="9" t="inlineStr">
        <is>
          <t>Внедрение полученных ответов в справочники и тексты.</t>
        </is>
      </c>
      <c r="H34" s="9" t="inlineStr">
        <is>
          <t>—</t>
        </is>
      </c>
      <c r="I34" s="9" t="inlineStr">
        <is>
          <t>Разработки не требуют — требуют ответа от водоканала.</t>
        </is>
      </c>
      <c r="J34" s="17" t="n">
        <v>4</v>
      </c>
      <c r="K34" s="17" t="n">
        <v>8</v>
      </c>
      <c r="L34" s="18" t="inlineStr">
        <is>
          <t>Из блока ADR-600: Согласования</t>
        </is>
      </c>
      <c r="M34" s="14" t="inlineStr">
        <is>
          <t>Без изменений</t>
        </is>
      </c>
      <c r="N34" s="15" t="n"/>
      <c r="O34" s="15" t="n"/>
      <c r="P34" s="16" t="n"/>
      <c r="Q34" s="16" t="n"/>
      <c r="R34" s="15" t="n"/>
      <c r="S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E35" s="9" t="inlineStr">
        <is>
          <t>—</t>
        </is>
      </c>
      <c r="F35" s="9" t="inlineStr">
        <is>
          <t>Календарный срок определяет служба ИБ водоканала.</t>
        </is>
      </c>
      <c r="G35" s="9" t="inlineStr">
        <is>
          <t>Полная сверка диаграмм с кодом, нагрузочные и security-сценарии, резюме для CTO.</t>
        </is>
      </c>
      <c r="H35" s="9" t="inlineStr">
        <is>
          <t>—</t>
        </is>
      </c>
      <c r="I35" s="9" t="inlineStr">
        <is>
          <t>Условие перехода к Этапу 2 — согласование ИБ (ADR-100/600).</t>
        </is>
      </c>
      <c r="J35" s="17" t="n">
        <v>5</v>
      </c>
      <c r="K35" s="24" t="n">
        <v>7.5</v>
      </c>
      <c r="L35" s="18" t="inlineStr">
        <is>
          <t>Из блока ADR-600: Документация и ИБ</t>
        </is>
      </c>
      <c r="M35" s="9" t="inlineStr">
        <is>
          <t>Согласование перечня триггеров self-hosted-перехода с ИБ.</t>
        </is>
      </c>
      <c r="N35" s="9" t="inlineStr">
        <is>
          <t>—</t>
        </is>
      </c>
      <c r="O35" s="9" t="inlineStr">
        <is>
          <t>Триггеры должны быть согласованы до срабатывания, а не после.</t>
        </is>
      </c>
      <c r="P35" s="19" t="n"/>
      <c r="Q35" s="19" t="n"/>
      <c r="R35" s="9" t="n"/>
      <c r="S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Выбор Qwen2.5 сделан по репутации, на эталонном наборе не проверен.</t>
        </is>
      </c>
      <c r="E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F36" s="9" t="inlineStr">
        <is>
          <t>Закупка оборудования — недели или месяцы, это снабжение, не разработка.</t>
        </is>
      </c>
      <c r="G36" s="14" t="inlineStr">
        <is>
          <t>Без изменений</t>
        </is>
      </c>
      <c r="H36" s="15" t="n"/>
      <c r="I36" s="15" t="n"/>
      <c r="J36" s="16" t="n"/>
      <c r="K36" s="16" t="n"/>
      <c r="L36" s="15" t="n"/>
      <c r="M36" s="9" t="inlineStr">
        <is>
          <t>Сравнение семейств на эталонном наборе; закупка и ввод GPU-сервера 1× A100 80 ГБ.</t>
        </is>
      </c>
      <c r="N36" s="9" t="inlineStr">
        <is>
          <t>Qwen2.5-32B INT4, vLLM.</t>
        </is>
      </c>
      <c r="O36" s="9" t="inlineStr">
        <is>
          <t>Аренда исключена не по цене, а по триггеру: облачный GPU считается внешним сервисом.</t>
        </is>
      </c>
      <c r="P36" s="20" t="n">
        <v>3</v>
      </c>
      <c r="Q36" s="20" t="n">
        <v>5</v>
      </c>
      <c r="R36" s="21" t="inlineStr">
        <is>
          <t>ADR-600</t>
        </is>
      </c>
      <c r="S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E37" s="9" t="inlineStr">
        <is>
          <t>—</t>
        </is>
      </c>
      <c r="F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G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H37" s="9" t="inlineStr">
        <is>
          <t>Скрипты замера (`scripts/measure_classifier.py`, `measure_search_models.py`), `golden_set/`, PII Filter; результат — обновлённый `Inquiry_Types.xlsx`.</t>
        </is>
      </c>
      <c r="I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J37" s="17" t="n">
        <v>13</v>
      </c>
      <c r="K37" s="17" t="n">
        <v>19</v>
      </c>
      <c r="L37" s="18" t="inlineStr">
        <is>
          <t>Из блока ADR-600: Анализ типов на живых данных</t>
        </is>
      </c>
      <c r="M37" s="9" t="inlineStr">
        <is>
          <t>Повторное решение по моделям для тиража по живой статистике MVP.</t>
        </is>
      </c>
      <c r="N37" s="9" t="inlineStr">
        <is>
          <t>Те же скрипты замера; при смене модели — переиндексация и пересчёт порогов k-NN.</t>
        </is>
      </c>
      <c r="O37" s="9" t="inlineStr">
        <is>
          <t>Проверить, что модель MVP годится при нагрузке тиража; при необходимости пересчитать пороги и sizing.</t>
        </is>
      </c>
      <c r="P37" s="20" t="n">
        <v>2</v>
      </c>
      <c r="Q37" s="20" t="n">
        <v>3</v>
      </c>
      <c r="R37" s="21" t="inlineStr">
        <is>
          <t>ADR-600</t>
        </is>
      </c>
      <c r="S37" s="9" t="inlineStr">
        <is>
          <t>ADR-300; ADR-600; Inquiry_Types.xlsx</t>
        </is>
      </c>
    </row>
    <row r="39">
      <c r="C39" s="25" t="inlineStr">
        <is>
          <t>Цвет ячеек с оценкой:</t>
        </is>
      </c>
    </row>
    <row r="40">
      <c r="C40" s="26" t="n"/>
      <c r="D40" s="27" t="inlineStr">
        <is>
          <t>цифра прямо из ADR-600</t>
        </is>
      </c>
    </row>
    <row r="41">
      <c r="C41" s="28" t="n"/>
      <c r="D41" s="27" t="inlineStr">
        <is>
          <t>цифра блока ADR-600 (или его доля, распределённая автором) — подтвердить</t>
        </is>
      </c>
    </row>
    <row r="42">
      <c r="C42" s="29" t="n"/>
      <c r="D42" s="27" t="inlineStr">
        <is>
          <t>в ADR-600 нет, оценка автора — подтвердить</t>
        </is>
      </c>
    </row>
    <row r="43">
      <c r="C43" s="30" t="n"/>
      <c r="D43" s="27" t="inlineStr">
        <is>
          <t>изменений на этом этапе нет</t>
        </is>
      </c>
    </row>
  </sheetData>
  <autoFilter ref="A2:S37"/>
  <mergeCells count="4">
    <mergeCell ref="A1:C1"/>
    <mergeCell ref="G1:L1"/>
    <mergeCell ref="D1:F1"/>
    <mergeCell ref="M1:R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SUM('Матрица'!$J$3:$J$37)</f>
        <v/>
      </c>
      <c r="C5" s="33">
        <f>SUM('Матрица'!$K$3:$K$37)</f>
        <v/>
      </c>
      <c r="D5" s="33">
        <f>B5/5</f>
        <v/>
      </c>
      <c r="E5" s="33">
        <f>C5/5</f>
        <v/>
      </c>
      <c r="F5" s="34">
        <f>SUMIF('Матрица'!$L$3:$L$37,"ADR-600",'Матрица'!$J$3:$J$37)</f>
        <v/>
      </c>
      <c r="G5" s="34">
        <f>SUMIF('Матрица'!$L$3:$L$37,"ADR-600",'Матрица'!$K$3:$K$37)</f>
        <v/>
      </c>
      <c r="H5" s="35">
        <f>SUMIF('Матрица'!$L$3:$L$37,"Из блока*",'Матрица'!$J$3:$J$37)</f>
        <v/>
      </c>
      <c r="I5" s="35">
        <f>SUMIF('Матрица'!$L$3:$L$37,"Из блока*",'Матрица'!$K$3:$K$37)</f>
        <v/>
      </c>
      <c r="J5" s="36">
        <f>SUMIF('Матрица'!$L$3:$L$37,"Оценка автора",'Матрица'!$J$3:$J$37)</f>
        <v/>
      </c>
      <c r="K5" s="36">
        <f>SUMIF('Матрица'!$L$3:$L$37,"Оценка автора",'Матрица'!$K$3:$K$37)</f>
        <v/>
      </c>
    </row>
    <row r="6">
      <c r="A6" s="11" t="inlineStr">
        <is>
          <t>Тираж — 90 000 абонентов</t>
        </is>
      </c>
      <c r="B6" s="33">
        <f>SUM('Матрица'!$P$3:$P$37)</f>
        <v/>
      </c>
      <c r="C6" s="33">
        <f>SUM('Матрица'!$Q$3:$Q$37)</f>
        <v/>
      </c>
      <c r="D6" s="33">
        <f>B6/5</f>
        <v/>
      </c>
      <c r="E6" s="33">
        <f>C6/5</f>
        <v/>
      </c>
      <c r="F6" s="34">
        <f>SUMIF('Матрица'!$R$3:$R$37,"ADR-600",'Матрица'!$P$3:$P$37)</f>
        <v/>
      </c>
      <c r="G6" s="34">
        <f>SUMIF('Матрица'!$R$3:$R$37,"ADR-600",'Матрица'!$Q$3:$Q$37)</f>
        <v/>
      </c>
      <c r="H6" s="35">
        <f>SUMIF('Матрица'!$R$3:$R$37,"Из блока*",'Матрица'!$P$3:$P$37)</f>
        <v/>
      </c>
      <c r="I6" s="35">
        <f>SUMIF('Матрица'!$R$3:$R$37,"Из блока*",'Матрица'!$Q$3:$Q$37)</f>
        <v/>
      </c>
      <c r="J6" s="36">
        <f>SUMIF('Матрица'!$R$3:$R$37,"Оценка автора",'Матрица'!$P$3:$P$37)</f>
        <v/>
      </c>
      <c r="K6" s="36">
        <f>SUMIF('Матрица'!$R$3:$R$37,"Оценка автора",'Матрица'!$Q$3:$Q$37)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SUMIF('Матрица'!$L$3:$L$37,"Из блока ADR-600: P0",'Матрица'!$J$3:$J$37)</f>
        <v/>
      </c>
      <c r="E15" s="33">
        <f>SUMIF('Матрица'!$L$3:$L$37,"Из блока ADR-600: P0",'Матрица'!$K$3:$K$37)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SUMIF('Матрица'!$L$3:$L$37,"Из блока ADR-600: Согласования",'Матрица'!$J$3:$J$37)</f>
        <v/>
      </c>
      <c r="E16" s="33">
        <f>SUMIF('Матрица'!$L$3:$L$37,"Из блока ADR-600: Согласования",'Матрица'!$K$3:$K$37)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17</v>
      </c>
      <c r="C17" s="33" t="n">
        <v>25</v>
      </c>
      <c r="D17" s="33">
        <f>SUMIF('Матрица'!$L$3:$L$37,"Из блока ADR-600: Качество поиска и классификации",'Матрица'!$J$3:$J$37)</f>
        <v/>
      </c>
      <c r="E17" s="33">
        <f>SUMIF('Матрица'!$L$3:$L$37,"Из блока ADR-600: Качество поиска и классификации",'Матрица'!$K$3:$K$37)</f>
        <v/>
      </c>
      <c r="F17" s="43">
        <f>IF(AND(D17=B17,E17=C17),"да","НЕТ")</f>
        <v/>
      </c>
      <c r="G17" s="9" t="inlineStr">
        <is>
          <t>≈3,5–5 недель: расширение классификатора 10–15 чел-дн + сравнение моделей 3–4 + реранкер 2–3 + судья 2–3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SUMIF('Матрица'!$L$3:$L$37,"Из блока ADR-600: Основная разработка Этапа 2",'Матрица'!$J$3:$J$37)</f>
        <v/>
      </c>
      <c r="E18" s="33">
        <f>SUMIF('Матрица'!$L$3:$L$37,"Из блока ADR-600: Основная разработка Этапа 2",'Матрица'!$K$3:$K$37)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SUMIF('Матрица'!$L$3:$L$37,"Из блока ADR-600: Документация и ИБ",'Матрица'!$J$3:$J$37)</f>
        <v/>
      </c>
      <c r="E19" s="33">
        <f>SUMIF('Матрица'!$L$3:$L$37,"Из блока ADR-600: Документация и ИБ",'Матрица'!$K$3:$K$37)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SUMIF('Матрица'!$L$3:$L$37,"Из блока ADR-600: Анализ типов на живых данных",'Матрица'!$J$3:$J$37)</f>
        <v/>
      </c>
      <c r="E20" s="33">
        <f>SUMIF('Матрица'!$L$3:$L$37,"Из блока ADR-600: Анализ типов на живых данных",'Матрица'!$K$3:$K$37)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Итого по блокам</t>
        </is>
      </c>
      <c r="B21" s="37">
        <f>SUM(B15:B20)</f>
        <v/>
      </c>
      <c r="C21" s="37">
        <f>SUM(C15:C20)</f>
        <v/>
      </c>
      <c r="D21" s="37">
        <f>SUM(D15:D20)</f>
        <v/>
      </c>
      <c r="E21" s="37">
        <f>SUM(E15:E20)</f>
        <v/>
      </c>
      <c r="F21" s="44">
        <f>IF(AND(D21=B21,E21=C21),"да","НЕТ")</f>
        <v/>
      </c>
      <c r="G21" s="9" t="inlineStr">
        <is>
          <t>ADR-600 называет итог ≈13–20 недель (≈65–100 чел-дн); сумма блоков 66,5–99,5 — округление в самом ADR-600</t>
        </is>
      </c>
    </row>
    <row r="23">
      <c r="A23" s="42" t="inlineStr">
        <is>
          <t>Затраты, которые не выражаются человеко-днями</t>
        </is>
      </c>
    </row>
    <row r="24">
      <c r="A24" s="5" t="inlineStr">
        <is>
          <t>Контур</t>
        </is>
      </c>
      <c r="B24" s="5" t="inlineStr">
        <is>
          <t>Статья</t>
        </is>
      </c>
      <c r="C24" s="5" t="inlineStr">
        <is>
          <t>Значение / комментарий</t>
        </is>
      </c>
      <c r="D24" s="5" t="inlineStr">
        <is>
          <t>От</t>
        </is>
      </c>
      <c r="E24" s="5" t="inlineStr">
        <is>
          <t>До</t>
        </is>
      </c>
      <c r="F24" s="5" t="inlineStr">
        <is>
          <t>Единица</t>
        </is>
      </c>
      <c r="G24" s="5" t="inlineStr">
        <is>
          <t>Источник</t>
        </is>
      </c>
    </row>
    <row r="25">
      <c r="A25" s="11" t="inlineStr">
        <is>
          <t>MVP</t>
        </is>
      </c>
      <c r="B25" s="9" t="inlineStr">
        <is>
          <t>Токены генерации (YandexGPT Pro, 0,8 ₽ за 1000 токенов)</t>
        </is>
      </c>
      <c r="C25" s="9" t="inlineStr">
        <is>
          <t>≈146 ₽/мес при базовом сценарии (10% визитов, 30% до модели) — ≈1 698 ₽/мес при максимальном (50%, 70%)</t>
        </is>
      </c>
      <c r="D25" s="41" t="n">
        <v>146</v>
      </c>
      <c r="E25" s="41" t="n">
        <v>1698</v>
      </c>
      <c r="F25" s="9" t="inlineStr">
        <is>
          <t>₽/мес</t>
        </is>
      </c>
      <c r="G25" s="9" t="inlineStr">
        <is>
          <t>ADR-500</t>
        </is>
      </c>
    </row>
    <row r="26">
      <c r="A26" s="11" t="inlineStr">
        <is>
          <t>MVP</t>
        </is>
      </c>
      <c r="B26" s="9" t="inlineStr">
        <is>
          <t>GPU-сервер под эмбеддинги и реранкер</t>
        </is>
      </c>
      <c r="C26" s="9" t="inlineStr">
        <is>
          <t>Не оценён отдельной строкой сметы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MVP</t>
        </is>
      </c>
      <c r="B27" s="9" t="inlineStr">
        <is>
          <t>Kubernetes-кластер, хранилища, наблюдаемость (железо, размещение, обслуживание)</t>
        </is>
      </c>
      <c r="C27" s="9" t="inlineStr">
        <is>
          <t>Не оценены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Тираж</t>
        </is>
      </c>
      <c r="B28" s="9" t="inlineStr">
        <is>
          <t>Карта A100 80 ГБ (покупка)</t>
        </is>
      </c>
      <c r="C28" s="9" t="inlineStr">
        <is>
          <t>OEM ≈927 000 ₽; оригинал/сертифицированная ≈2 368 080 ₽ (аренда 35–50 тыс. ₽/мес исключена триггером)</t>
        </is>
      </c>
      <c r="D28" s="41" t="n">
        <v>927000</v>
      </c>
      <c r="E28" s="41" t="n">
        <v>2368080</v>
      </c>
      <c r="F28" s="9" t="inlineStr">
        <is>
          <t>₽</t>
        </is>
      </c>
      <c r="G28" s="9" t="inlineStr">
        <is>
          <t>ADR-500</t>
        </is>
      </c>
    </row>
    <row r="29">
      <c r="A29" s="11" t="inlineStr">
        <is>
          <t>Тираж</t>
        </is>
      </c>
      <c r="B29" s="9" t="inlineStr">
        <is>
          <t>Сервер-хост, электричество, размещение, обслуживание GPU</t>
        </is>
      </c>
      <c r="C29" s="9" t="inlineStr">
        <is>
          <t>Не оценены</t>
        </is>
      </c>
      <c r="D29" s="41" t="n"/>
      <c r="E29" s="41" t="n"/>
      <c r="F29" s="9" t="inlineStr">
        <is>
          <t>₽</t>
        </is>
      </c>
      <c r="G29" s="9" t="inlineStr">
        <is>
          <t>ADR-500 (открытый пункт)</t>
        </is>
      </c>
    </row>
    <row r="31">
      <c r="A31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'Матрица'!J3</f>
        <v/>
      </c>
      <c r="E12" s="33">
        <f>'Матрица'!K3</f>
        <v/>
      </c>
      <c r="F12" s="13">
        <f>'Матрица'!L3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'Матрица'!J4</f>
        <v/>
      </c>
      <c r="E13" s="33">
        <f>'Матрица'!K4</f>
        <v/>
      </c>
      <c r="F13" s="18">
        <f>'Матрица'!L4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'Матрица'!J5</f>
        <v/>
      </c>
      <c r="E14" s="33">
        <f>'Матрица'!K5</f>
        <v/>
      </c>
      <c r="F14" s="18">
        <f>'Матрица'!L5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'Матрица'!J6</f>
        <v/>
      </c>
      <c r="E15" s="33">
        <f>'Матрица'!K6</f>
        <v/>
      </c>
      <c r="F15" s="13">
        <f>'Матрица'!L6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'Матрица'!J8</f>
        <v/>
      </c>
      <c r="E16" s="33">
        <f>'Матрица'!K8</f>
        <v/>
      </c>
      <c r="F16" s="18">
        <f>'Матрица'!L8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'Матрица'!J9</f>
        <v/>
      </c>
      <c r="E17" s="33">
        <f>'Матрица'!K9</f>
        <v/>
      </c>
      <c r="F17" s="13">
        <f>'Матрица'!L9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'Матрица'!J10</f>
        <v/>
      </c>
      <c r="E18" s="33">
        <f>'Матрица'!K10</f>
        <v/>
      </c>
      <c r="F18" s="18">
        <f>'Матрица'!L10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'Матрица'!J11</f>
        <v/>
      </c>
      <c r="E19" s="33">
        <f>'Матрица'!K11</f>
        <v/>
      </c>
      <c r="F19" s="18">
        <f>'Матрица'!L11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'Матрица'!J12</f>
        <v/>
      </c>
      <c r="E20" s="33">
        <f>'Матрица'!K12</f>
        <v/>
      </c>
      <c r="F20" s="13">
        <f>'Матрица'!L12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'Матрица'!J13</f>
        <v/>
      </c>
      <c r="E21" s="33">
        <f>'Матрица'!K13</f>
        <v/>
      </c>
      <c r="F21" s="13">
        <f>'Матрица'!L13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'Матрица'!J14</f>
        <v/>
      </c>
      <c r="E22" s="33">
        <f>'Матрица'!K14</f>
        <v/>
      </c>
      <c r="F22" s="13">
        <f>'Матрица'!L14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'Матрица'!J15</f>
        <v/>
      </c>
      <c r="E23" s="33">
        <f>'Матрица'!K15</f>
        <v/>
      </c>
      <c r="F23" s="13">
        <f>'Матрица'!L15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'Матрица'!J16</f>
        <v/>
      </c>
      <c r="E24" s="33">
        <f>'Матрица'!K16</f>
        <v/>
      </c>
      <c r="F24" s="13">
        <f>'Матрица'!L16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'Матрица'!J17</f>
        <v/>
      </c>
      <c r="E25" s="33">
        <f>'Матрица'!K17</f>
        <v/>
      </c>
      <c r="F25" s="13">
        <f>'Матрица'!L17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'Матрица'!P17</f>
        <v/>
      </c>
      <c r="E26" s="33">
        <f>'Матрица'!Q17</f>
        <v/>
      </c>
      <c r="F26" s="13">
        <f>'Матрица'!R17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'Матрица'!J18</f>
        <v/>
      </c>
      <c r="E27" s="33">
        <f>'Матрица'!K18</f>
        <v/>
      </c>
      <c r="F27" s="18">
        <f>'Матрица'!L18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'Матрица'!J19</f>
        <v/>
      </c>
      <c r="E28" s="33">
        <f>'Матрица'!K19</f>
        <v/>
      </c>
      <c r="F28" s="18">
        <f>'Матрица'!L19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'Матрица'!J20</f>
        <v/>
      </c>
      <c r="E29" s="33">
        <f>'Матрица'!K20</f>
        <v/>
      </c>
      <c r="F29" s="18">
        <f>'Матрица'!L20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'Матрица'!J21</f>
        <v/>
      </c>
      <c r="E30" s="33">
        <f>'Матрица'!K21</f>
        <v/>
      </c>
      <c r="F30" s="18">
        <f>'Матрица'!L21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'Матрица'!J22</f>
        <v/>
      </c>
      <c r="E31" s="33">
        <f>'Матрица'!K22</f>
        <v/>
      </c>
      <c r="F31" s="13">
        <f>'Матрица'!L22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'Матрица'!J23</f>
        <v/>
      </c>
      <c r="E32" s="33">
        <f>'Матрица'!K23</f>
        <v/>
      </c>
      <c r="F32" s="13">
        <f>'Матрица'!L23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'Матрица'!J24</f>
        <v/>
      </c>
      <c r="E33" s="33">
        <f>'Матрица'!K24</f>
        <v/>
      </c>
      <c r="F33" s="13">
        <f>'Матрица'!L24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'Матрица'!J26</f>
        <v/>
      </c>
      <c r="E34" s="33">
        <f>'Матрица'!K26</f>
        <v/>
      </c>
      <c r="F34" s="18">
        <f>'Матрица'!L26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'Матрица'!J33</f>
        <v/>
      </c>
      <c r="E35" s="33">
        <f>'Матрица'!K33</f>
        <v/>
      </c>
      <c r="F35" s="18">
        <f>'Матрица'!L33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'Матрица'!J34</f>
        <v/>
      </c>
      <c r="E36" s="33">
        <f>'Матрица'!K34</f>
        <v/>
      </c>
      <c r="F36" s="18">
        <f>'Матрица'!L34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'Матрица'!J35</f>
        <v/>
      </c>
      <c r="E37" s="33">
        <f>'Матрица'!K35</f>
        <v/>
      </c>
      <c r="F37" s="18">
        <f>'Матрица'!L35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'Матрица'!J37</f>
        <v/>
      </c>
      <c r="E38" s="33">
        <f>'Матрица'!K37</f>
        <v/>
      </c>
      <c r="F38" s="18">
        <f>'Матрица'!L37</f>
        <v/>
      </c>
    </row>
    <row r="40">
      <c r="B40" s="42" t="inlineStr">
        <is>
          <t>Документы-источники</t>
        </is>
      </c>
    </row>
    <row r="41">
      <c r="B41" s="11" t="inlineStr">
        <is>
          <t>ADR-100</t>
        </is>
      </c>
      <c r="C41" s="9" t="inlineStr">
        <is>
          <t>Что сдано и что отложено; таблица «целевой компонент — замена на прототипе»</t>
        </is>
      </c>
    </row>
    <row r="42">
      <c r="B42" s="11" t="inlineStr">
        <is>
          <t>ADR-200</t>
        </is>
      </c>
      <c r="C42" s="9" t="inlineStr">
        <is>
          <t>Стек по слоям, альтернативы, сравнение Python/Go/Node.js</t>
        </is>
      </c>
    </row>
    <row r="43">
      <c r="B43" s="11" t="inlineStr">
        <is>
          <t>ADR-300</t>
        </is>
      </c>
      <c r="C43" s="9" t="inlineStr">
        <is>
          <t>Модели: классификация, эмбеддинги, реранкер, генерация, судья</t>
        </is>
      </c>
    </row>
    <row r="44">
      <c r="B44" s="11" t="inlineStr">
        <is>
          <t>ADR-400</t>
        </is>
      </c>
      <c r="C44" s="9" t="inlineStr">
        <is>
          <t>Безопасность по контурам, открытые пункты</t>
        </is>
      </c>
    </row>
    <row r="45">
      <c r="B45" s="11" t="inlineStr">
        <is>
          <t>ADR-500</t>
        </is>
      </c>
      <c r="C45" s="9" t="inlineStr">
        <is>
          <t>Ресурсы и стоимость: прототип, MVP, тираж</t>
        </is>
      </c>
    </row>
    <row r="46">
      <c r="B46" s="11" t="inlineStr">
        <is>
          <t>ADR-600</t>
        </is>
      </c>
      <c r="C46" s="9" t="inlineStr">
        <is>
          <t>План развития и укрупнённые оценки трудозатрат</t>
        </is>
      </c>
    </row>
    <row r="47">
      <c r="B47" s="11" t="inlineStr">
        <is>
          <t>C4_Deployment, C3/*</t>
        </is>
      </c>
      <c r="C47" s="9" t="inlineStr">
        <is>
          <t>Целевая схема развёртывания и компоненты</t>
        </is>
      </c>
    </row>
    <row r="48">
      <c r="B48" s="11" t="inlineStr">
        <is>
          <t>Код и docker-compose.yml</t>
        </is>
      </c>
      <c r="C48" s="9" t="inlineStr">
        <is>
          <t>Проверка колонки «Сейчас»</t>
        </is>
      </c>
    </row>
  </sheetData>
  <mergeCells count="14">
    <mergeCell ref="C47:F47"/>
    <mergeCell ref="C45:F45"/>
    <mergeCell ref="C3:F3"/>
    <mergeCell ref="C48:F48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2026-09-24T11:19:49Z</dcterms:created>
  <dcterms:modified xmlns:dcterms="http://purl.org/dc/terms/" xmlns:xsi="http://www.w3.org/2001/XMLSchema-instance" xsi:type="dcterms:W3CDTF">2026-09-24T11:19:49Z</dcterms:modified>
</cp:coreProperties>
</file>