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эмбеддингах BGE-M3 (GPU) — тем же эмбеддером, что и поиск.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BGE-M3.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(модели судьи);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3</v>
      </c>
      <c r="N10" s="17" t="n">
        <v>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SUM('Матрица'!$M$3:$M$37)</f>
        <v/>
      </c>
      <c r="C5" s="33">
        <f>SUM('Матрица'!$N$3:$N$37)</f>
        <v/>
      </c>
      <c r="D5" s="33">
        <f>B5/5</f>
        <v/>
      </c>
      <c r="E5" s="33">
        <f>C5/5</f>
        <v/>
      </c>
      <c r="F5" s="34">
        <f>SUMIF('Матрица'!$O$3:$O$37,"ADR-600",'Матрица'!$M$3:$M$37)</f>
        <v/>
      </c>
      <c r="G5" s="34">
        <f>SUMIF('Матрица'!$O$3:$O$37,"ADR-600",'Матрица'!$N$3:$N$37)</f>
        <v/>
      </c>
      <c r="H5" s="35">
        <f>SUMIF('Матрица'!$O$3:$O$37,"Из блока*",'Матрица'!$M$3:$M$37)</f>
        <v/>
      </c>
      <c r="I5" s="35">
        <f>SUMIF('Матрица'!$O$3:$O$37,"Из блока*",'Матрица'!$N$3:$N$37)</f>
        <v/>
      </c>
      <c r="J5" s="36">
        <f>SUMIF('Матрица'!$O$3:$O$37,"Оценка автора",'Матрица'!$M$3:$M$37)</f>
        <v/>
      </c>
      <c r="K5" s="36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3">
        <f>SUM('Матрица'!$S$3:$S$37)</f>
        <v/>
      </c>
      <c r="C6" s="33">
        <f>SUM('Матрица'!$T$3:$T$37)</f>
        <v/>
      </c>
      <c r="D6" s="33">
        <f>B6/5</f>
        <v/>
      </c>
      <c r="E6" s="33">
        <f>C6/5</f>
        <v/>
      </c>
      <c r="F6" s="34">
        <f>SUMIF('Матрица'!$U$3:$U$37,"ADR-600",'Матрица'!$S$3:$S$37)</f>
        <v/>
      </c>
      <c r="G6" s="34">
        <f>SUMIF('Матрица'!$U$3:$U$37,"ADR-600",'Матрица'!$T$3:$T$37)</f>
        <v/>
      </c>
      <c r="H6" s="35">
        <f>SUMIF('Матрица'!$U$3:$U$37,"Из блока*",'Матрица'!$S$3:$S$37)</f>
        <v/>
      </c>
      <c r="I6" s="35">
        <f>SUMIF('Матрица'!$U$3:$U$37,"Из блока*",'Матрица'!$T$3:$T$37)</f>
        <v/>
      </c>
      <c r="J6" s="36">
        <f>SUMIF('Матрица'!$U$3:$U$37,"Оценка автора",'Матрица'!$S$3:$S$37)</f>
        <v/>
      </c>
      <c r="K6" s="36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SUMIF('Матрица'!$O$3:$O$37,"Из блока ADR-600: P0",'Матрица'!$M$3:$M$37)</f>
        <v/>
      </c>
      <c r="E15" s="33">
        <f>SUMIF('Матрица'!$O$3:$O$37,"Из блока ADR-600: P0",'Матрица'!$N$3:$N$37)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SUMIF('Матрица'!$O$3:$O$37,"Из блока ADR-600: Согласования",'Матрица'!$M$3:$M$37)</f>
        <v/>
      </c>
      <c r="E16" s="33">
        <f>SUMIF('Матрица'!$O$3:$O$37,"Из блока ADR-600: Согласования",'Матрица'!$N$3:$N$37)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SUMIF('Матрица'!$O$3:$O$37,"Из блока ADR-600: Качество поиска и классификации",'Матрица'!$M$3:$M$37)</f>
        <v/>
      </c>
      <c r="E17" s="33">
        <f>SUMIF('Матрица'!$O$3:$O$37,"Из блока ADR-600: Качество поиска и классификации",'Матрица'!$N$3:$N$37)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SUMIF('Матрица'!$O$3:$O$37,"Из блока ADR-600: Основная разработка Этапа 2",'Матрица'!$M$3:$M$37)</f>
        <v/>
      </c>
      <c r="E18" s="33">
        <f>SUMIF('Матрица'!$O$3:$O$37,"Из блока ADR-600: Основная разработка Этапа 2",'Матрица'!$N$3:$N$37)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SUMIF('Матрица'!$O$3:$O$37,"Из блока ADR-600: Документация и ИБ",'Матрица'!$M$3:$M$37)</f>
        <v/>
      </c>
      <c r="E19" s="33">
        <f>SUMIF('Матрица'!$O$3:$O$37,"Из блока ADR-600: Документация и ИБ",'Матрица'!$N$3:$N$37)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SUMIF('Матрица'!$O$3:$O$37,"Из блока ADR-600: Анализ типов на живых данных",'Матрица'!$M$3:$M$37)</f>
        <v/>
      </c>
      <c r="E20" s="33">
        <f>SUMIF('Матрица'!$O$3:$O$37,"Из блока ADR-600: Анализ типов на живых данных",'Матрица'!$N$3:$N$37)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≈13–20 недель (≈65–100 чел-дн); сумма блоков 66,5–99,5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2026-09-24T11:34:37Z</dcterms:created>
  <dcterms:modified xmlns:dcterms="http://purl.org/dc/terms/" xmlns:xsi="http://www.w3.org/2001/XMLSchema-instance" xsi:type="dcterms:W3CDTF">2026-09-24T11:34:37Z</dcterms:modified>
</cp:coreProperties>
</file>