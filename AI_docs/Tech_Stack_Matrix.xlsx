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дорабатывается детектор намерений (LangGraph реплику на задачи не разбирает,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≈1,7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берётся только если на реальных данных измерено, что без него работает хуже (три признака в ADR-200); таких измерений нет. Другие движки не сравнивались.</t>
        </is>
      </c>
      <c r="H17" s="9" t="inlineStr">
        <is>
          <t>ADR-200, раздел «Backend и оркестрация»: строка «Оркестрация агента» и подраздел «Оркестрация агента: LangGraph на MVP, собственная таблица переходов — прототип»</t>
        </is>
      </c>
      <c r="I17" s="9" t="inlineStr">
        <is>
          <t>Форма компонента не выбрана: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дорабатывается детектор намерений.</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LangGraph для оркестрации записи</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Собственная таблица переходов (`app/fsm.py`, 7 состояний, 10 переходов), покрыта тестами; LangGraph не подключён и не пробовался.</t>
        </is>
      </c>
      <c r="G18" s="9" t="inlineStr">
        <is>
          <t>Свой автомат против `transitions` и LangGraph — ADR-200, подраздел «Оркестрация агента». Решение плановое: LangGraph с MVP, без условий-триггеров, потому что ресурсов почти не требует (+34 МиБ ОЗУ, +2,3 с на импорт, замер; GPU не нужна). Необходимость измерением не показана — решение не доказано, а принято планово; прежние условия перехода (по возможностям библиотеки, затем по признакам необходимости) сняты.</t>
        </is>
      </c>
      <c r="H18" s="9" t="inlineStr">
        <is>
          <t>ADR-200, подраздел «Оркестрация агента: LangGraph на MVP, собственная таблица переходов — прототип», включая условия внедрения; работы — ADR-600, «LangGraph для оркестрации записи»</t>
        </is>
      </c>
      <c r="I18" s="9" t="inlineStr">
        <is>
          <t>Лишняя зависимость (согласование ИБ); риск второго механизма подтверждения при неверном `interrupt_before`; телеметрия `langsmith` за периметр не проверена на 152-ФЗ; задержка шага графа не измерена; возможности библиотеки в проекте не пробовались.</t>
        </is>
      </c>
      <c r="J18" s="9" t="inlineStr">
        <is>
          <t>Граф с тем же составом переходов, что `app/fsm.py`; тесты перебора всех состояний на графе; `interrupt_before` вместо проверки состояния или не применяется; отключение внешней телеметрии; согласование ИБ; замер задержки и регрессия. Опции по решению при проектировании сценария (вне оценки): контрольные точки состояния 2–3, выбор инструмента моделью 3–5 чел-дн (предусловие — тест function-calling).</t>
        </is>
      </c>
      <c r="K18" s="9" t="inlineStr">
        <is>
          <t>Python; LangGraph `StateGraph`; состояние — Redis с сохранением или Postgres (если включены контрольные точки).</t>
        </is>
      </c>
      <c r="L18" s="9" t="inlineStr">
        <is>
          <t>Ресурсов почти не требует; граф даёт единое описание переходов и опции на будущее. Правило подтверждения остаётся одним.</t>
        </is>
      </c>
      <c r="M18" s="17" t="n">
        <v>5</v>
      </c>
      <c r="N18" s="17" t="n">
        <v>9</v>
      </c>
      <c r="O18" s="18" t="inlineStr">
        <is>
          <t>Из блока ADR-600: LangGraph для оркестрации записи</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единое хранилище логов (VictoriaLogs или OpenSearch, выбор не сделан); Prometheus — запасной источник для P99 (верхняя оценка до проверки Zabbix)</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как хранятся логи каждого контейнера сейчас, можно ли установить плагин VictoriaLogs в Grafana владельца (версия не ниже 10.4.0, права администратора), примет ли ИБ молодой продукт.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единое хранилище логов: VictoriaLogs (рекомендация автора) или OpenSearch, выбор не сделан; Prometheus — запасной источник для P99.</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1 476–22 320 ₽ в месяц, на тираже 6 022–177 300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×15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метрика детектора намерений (выше 5% — доработка детектора, ADR-200); в пределах оценки. Свод по операциям записи: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метрика детектора намерений (выше 5% — доработка детектора; LangGraph этого не решает).</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5"/>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LangGraph для оркестрации записи</t>
        </is>
      </c>
      <c r="B19" s="34" t="n">
        <v>5</v>
      </c>
      <c r="C19" s="34" t="n">
        <v>9</v>
      </c>
      <c r="D19" s="34">
        <f>SUMIF('Матрица'!$O$3:$O$43,"Из блока ADR-600: LangGraph для оркестрации записи",'Матрица'!$M$3:$M$43)</f>
        <v/>
      </c>
      <c r="E19" s="34">
        <f>SUMIF('Матрица'!$O$3:$O$43,"Из блока ADR-600: LangGraph для оркестрации записи",'Матрица'!$N$3:$N$43)</f>
        <v/>
      </c>
      <c r="F19" s="44">
        <f>IF(AND(D19=B19,E19=C19),"да","НЕТ")</f>
        <v/>
      </c>
      <c r="G19" s="9" t="inlineStr">
        <is>
          <t>5–9 чел-дн (ADR-600): граф с тем же составом переходов 2–3, подтверждение 1–2, зависимость и ИБ 1–2, замер задержки 1–2</t>
        </is>
      </c>
    </row>
    <row r="20">
      <c r="A20" s="11" t="inlineStr">
        <is>
          <t>Документация и ИБ</t>
        </is>
      </c>
      <c r="B20" s="34" t="n">
        <v>5</v>
      </c>
      <c r="C20" s="34" t="n">
        <v>7.5</v>
      </c>
      <c r="D20" s="34">
        <f>SUMIF('Матрица'!$O$3:$O$43,"Из блока ADR-600: Документация и ИБ",'Матрица'!$M$3:$M$43)</f>
        <v/>
      </c>
      <c r="E20" s="34">
        <f>SUMIF('Матрица'!$O$3:$O$43,"Из блока ADR-600: Документация и ИБ",'Матрица'!$N$3:$N$43)</f>
        <v/>
      </c>
      <c r="F20" s="44">
        <f>IF(AND(D20=B20,E20=C20),"да","НЕТ")</f>
        <v/>
      </c>
      <c r="G20" s="9" t="inlineStr">
        <is>
          <t>1–1,5 недели</t>
        </is>
      </c>
    </row>
    <row r="21">
      <c r="A21" s="11" t="inlineStr">
        <is>
          <t>Анализ типов на живых данных</t>
        </is>
      </c>
      <c r="B21" s="34" t="n">
        <v>13</v>
      </c>
      <c r="C21" s="34" t="n">
        <v>19</v>
      </c>
      <c r="D21" s="34">
        <f>SUMIF('Матрица'!$O$3:$O$43,"Из блока ADR-600: Анализ типов на живых данных",'Матрица'!$M$3:$M$43)</f>
        <v/>
      </c>
      <c r="E21" s="34">
        <f>SUMIF('Матрица'!$O$3:$O$43,"Из блока ADR-600: Анализ типов на живых данных",'Матрица'!$N$3:$N$43)</f>
        <v/>
      </c>
      <c r="F21" s="44">
        <f>IF(AND(D21=B21,E21=C21),"да","НЕТ")</f>
        <v/>
      </c>
      <c r="G21" s="9" t="inlineStr">
        <is>
          <t>13–19 чел-дн (ADR-600, дополнительно к блоку «Качество поиска и классификации»)</t>
        </is>
      </c>
    </row>
    <row r="22">
      <c r="A22" s="11" t="inlineStr">
        <is>
          <t>Несколько задач в одной реплике (доработка после прототипа)</t>
        </is>
      </c>
      <c r="B22" s="34" t="n">
        <v>9</v>
      </c>
      <c r="C22" s="34" t="n">
        <v>14</v>
      </c>
      <c r="D22" s="34">
        <f>SUMIF('Матрица'!$O$3:$O$43,"Из блока ADR-600: Несколько задач в одной реплике (доработка после прототипа)",'Матрица'!$M$3:$M$43)</f>
        <v/>
      </c>
      <c r="E22" s="34">
        <f>SUMIF('Матрица'!$O$3:$O$43,"Из блока ADR-600: Несколько задач в одной реплике (доработка после прототипа)",'Матрица'!$N$3:$N$43)</f>
        <v/>
      </c>
      <c r="F22" s="44">
        <f>IF(AND(D22=B22,E22=C22),"да","НЕТ")</f>
        <v/>
      </c>
      <c r="G22" s="9" t="inlineStr">
        <is>
          <t>9–14 чел-дн (ADR-600): проверка детектора на репликах чата 3–4, несколько обращений из одной реплики 3–5, условия помимо долга 2–3, путь generate и лимиты 1–2</t>
        </is>
      </c>
    </row>
    <row r="23">
      <c r="A23" s="11" t="inlineStr">
        <is>
          <t>Проверка Guardrails и провайдеров на живых данных</t>
        </is>
      </c>
      <c r="B23" s="34" t="n">
        <v>11</v>
      </c>
      <c r="C23" s="34" t="n">
        <v>18</v>
      </c>
      <c r="D23" s="34">
        <f>SUMIF('Матрица'!$O$3:$O$43,"Из блока ADR-600: Проверка Guardrails и провайдеров на живых данных",'Матрица'!$M$3:$M$43)</f>
        <v/>
      </c>
      <c r="E23" s="34">
        <f>SUMIF('Матрица'!$O$3:$O$43,"Из блока ADR-600: Проверка Guardrails и провайдеров на живых данных",'Матрица'!$N$3:$N$43)</f>
        <v/>
      </c>
      <c r="F23" s="44">
        <f>IF(AND(D23=B23,E23=C23),"да","НЕТ")</f>
        <v/>
      </c>
      <c r="G23" s="9" t="inlineStr">
        <is>
          <t>11–18 чел-дн (ADR-600): выборка 1–2, Guardrails 4–6, оптимизация синхронной проверки 1–2, сравнение провайдеров 4–6, решение 1–2</t>
        </is>
      </c>
    </row>
    <row r="24">
      <c r="A24" s="11" t="inlineStr">
        <is>
          <t>Итого по блокам</t>
        </is>
      </c>
      <c r="B24" s="38">
        <f>SUM(B15:B23)</f>
        <v/>
      </c>
      <c r="C24" s="38">
        <f>SUM(C15:C23)</f>
        <v/>
      </c>
      <c r="D24" s="38">
        <f>SUM(D15:D23)</f>
        <v/>
      </c>
      <c r="E24" s="38">
        <f>SUM(E15:E23)</f>
        <v/>
      </c>
      <c r="F24" s="45">
        <f>IF(AND(D24=B24,E24=C24),"да","НЕТ")</f>
        <v/>
      </c>
      <c r="G24" s="9" t="inlineStr">
        <is>
          <t>ADR-600 называет итог ≈23–36 недель (≈115–180 чел-дн); сумма блоков 116,5–178,5 — округление в самом ADR-600</t>
        </is>
      </c>
    </row>
    <row r="26">
      <c r="A26" s="43" t="inlineStr">
        <is>
          <t>Затраты, которые не выражаются человеко-днями</t>
        </is>
      </c>
    </row>
    <row r="27">
      <c r="A27" s="5" t="inlineStr">
        <is>
          <t>Контур</t>
        </is>
      </c>
      <c r="B27" s="5" t="inlineStr">
        <is>
          <t>Статья</t>
        </is>
      </c>
      <c r="C27" s="5" t="inlineStr">
        <is>
          <t>Значение / комментарий</t>
        </is>
      </c>
      <c r="D27" s="5" t="inlineStr">
        <is>
          <t>От</t>
        </is>
      </c>
      <c r="E27" s="5" t="inlineStr">
        <is>
          <t>До</t>
        </is>
      </c>
      <c r="F27" s="5" t="inlineStr">
        <is>
          <t>Единица</t>
        </is>
      </c>
      <c r="G27" s="5" t="inlineStr">
        <is>
          <t>Источник</t>
        </is>
      </c>
    </row>
    <row r="28">
      <c r="A28" s="11" t="inlineStr">
        <is>
          <t>MVP</t>
        </is>
      </c>
      <c r="B28" s="9" t="inlineStr">
        <is>
          <t>Токены генерации (YandexGPT Pro, 0,8 ₽ за 1000 токенов)</t>
        </is>
      </c>
      <c r="C28" s="9" t="inlineStr">
        <is>
          <t>Минимум — 1 476 ₽/мес (7% абонентов в чате, судья раз в неделю); максимум — 22 320 ₽/мес (35% абонентов, судья каждую ночь); в обоих сценариях 30% вопросов до модели и 1 000 токенов на запрос (решение 25 сентября 2026). Допущения о спросе данными водоканала не подтверждены; разброс ×15</t>
        </is>
      </c>
      <c r="D28" s="42" t="n">
        <v>1476</v>
      </c>
      <c r="E28" s="42" t="n">
        <v>22320</v>
      </c>
      <c r="F28" s="9" t="inlineStr">
        <is>
          <t>₽/мес</t>
        </is>
      </c>
      <c r="G28" s="9" t="inlineStr">
        <is>
          <t>Capacity_Report; лист «Прогноз стоимости»</t>
        </is>
      </c>
    </row>
    <row r="29">
      <c r="A29" s="11" t="inlineStr">
        <is>
          <t>Тираж</t>
        </is>
      </c>
      <c r="B29" s="9" t="inlineStr">
        <is>
          <t>Токены генерации и судьи качества (тариф YandexGPT Pro 0,8 ₽ за 1000 токенов)</t>
        </is>
      </c>
      <c r="C29" s="9" t="inlineStr">
        <is>
          <t>Минимум — 6 022 ₽/мес, максимум — 177 300 ₽/мес (0,66 вопроса/с в пике); если примут собственную модель — вместо токенов CAPEX на карту</t>
        </is>
      </c>
      <c r="D29" s="42" t="n">
        <v>6022</v>
      </c>
      <c r="E29" s="42" t="n">
        <v>177300</v>
      </c>
      <c r="F29" s="9" t="inlineStr">
        <is>
          <t>₽/мес</t>
        </is>
      </c>
      <c r="G29" s="9" t="inlineStr">
        <is>
          <t>Capacity_Report; лист «Прогноз стоимости»</t>
        </is>
      </c>
    </row>
    <row r="30">
      <c r="A30" s="11" t="inlineStr">
        <is>
          <t>MVP</t>
        </is>
      </c>
      <c r="B30" s="9" t="inlineStr">
        <is>
          <t>GPU-сервер под эмбеддинги и реранкер (только если владелец добавит GPU-узел: в кластере GPU нет)</t>
        </is>
      </c>
      <c r="C30" s="9" t="inlineStr">
        <is>
          <t>Не оценён отдельной строкой сметы; скорость на GPU не измерялась</t>
        </is>
      </c>
      <c r="D30" s="42" t="n"/>
      <c r="E30" s="42" t="n"/>
      <c r="F30" s="9" t="inlineStr">
        <is>
          <t>₽</t>
        </is>
      </c>
      <c r="G30" s="9" t="inlineStr">
        <is>
          <t>ADR-500 (открытый пункт)</t>
        </is>
      </c>
    </row>
    <row r="31">
      <c r="A31" s="11" t="inlineStr">
        <is>
          <t>MVP</t>
        </is>
      </c>
      <c r="B31" s="9" t="inlineStr">
        <is>
          <t>Kubernetes-кластер, хранилища, наблюдаемость (железо, размещение, обслуживание)</t>
        </is>
      </c>
      <c r="C31" s="9" t="inlineStr">
        <is>
          <t>Не оценены</t>
        </is>
      </c>
      <c r="D31" s="42" t="n"/>
      <c r="E31" s="42" t="n"/>
      <c r="F31" s="9" t="inlineStr">
        <is>
          <t>₽</t>
        </is>
      </c>
      <c r="G31" s="9" t="inlineStr">
        <is>
          <t>ADR-500 (открытый пункт)</t>
        </is>
      </c>
    </row>
    <row r="32">
      <c r="A32" s="11" t="inlineStr">
        <is>
          <t>Тираж</t>
        </is>
      </c>
      <c r="B32" s="9" t="inlineStr">
        <is>
          <t>Карта A100 80 ГБ (покупка, только если решат брать собственную модель)</t>
        </is>
      </c>
      <c r="C32"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2" s="42" t="n">
        <v>927000</v>
      </c>
      <c r="E32" s="42" t="n">
        <v>2368080</v>
      </c>
      <c r="F32" s="9" t="inlineStr">
        <is>
          <t>₽</t>
        </is>
      </c>
      <c r="G32" s="9" t="inlineStr">
        <is>
          <t>ADR-500</t>
        </is>
      </c>
    </row>
    <row r="33">
      <c r="A33" s="11" t="inlineStr">
        <is>
          <t>Тираж</t>
        </is>
      </c>
      <c r="B33" s="9" t="inlineStr">
        <is>
          <t>Сервер-хост, электричество, размещение, обслуживание GPU</t>
        </is>
      </c>
      <c r="C33" s="9" t="inlineStr">
        <is>
          <t>Не оценены</t>
        </is>
      </c>
      <c r="D33" s="42" t="n"/>
      <c r="E33" s="42" t="n"/>
      <c r="F33" s="9" t="inlineStr">
        <is>
          <t>₽</t>
        </is>
      </c>
      <c r="G33" s="9" t="inlineStr">
        <is>
          <t>ADR-500 (открытый пункт)</t>
        </is>
      </c>
    </row>
    <row r="35">
      <c r="A35"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до модели доходят 30% вопросов (принято в обоих сценариях).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принято 1 000 в обоих сценариях (замер 401 на 19 вызовах с короткими фрагментами FAQ в расчёт не берётся).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8">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1,3–15,3 млн токенов в месяц на MVP и 1,9–79,9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90" customHeight="1">
      <c r="A11" s="50" t="n">
        <v>7</v>
      </c>
      <c r="B11" s="11" t="inlineStr">
        <is>
          <t>LLM Provider</t>
        </is>
      </c>
      <c r="C11" s="9" t="inlineStr">
        <is>
          <t>Токены генерации</t>
        </is>
      </c>
      <c r="D11" s="9" t="inlineStr">
        <is>
          <t>Токенов на запрос принято 1 000 в обоих сценариях (замер 401 на 19 вызовах с короткими фрагментами FAQ до 300 знаков в расчёт не берётся). Стоимость токенов (генерация и судья) — 1 476–22 320 ₽ в месяц на MVP и 6 022–177 300 ₽ на тираже (минимум–максимум); до модели доходит 30% вопросов (принято в обоих сценариях). Агент Этапа 2 добавит до 44 800 ₽ (MVP) и 504 000 ₽ (тираж) в месяц в максимуме.</t>
        </is>
      </c>
      <c r="E11" s="9" t="inlineStr">
        <is>
          <t>Принятое допущение (1 000 токенов); замер 401 на коротких фрагментах</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6 048–151 200 строк в год на MVP и 68 040–1,70 млн на тираже (≈2–47 МБ и 21–524 МБ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0,2 ГБ на MVP и до 2,2 ГБ на тираже; том 20 и 50 ГиБ выбран с запасом до пересчёта и не менялся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(предположительно —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Loki (логи) заложен как основной компонент — решение принято; Prometheus (запасной источник для задержки P99) оставлен как верхняя оценка до проверки Zabbix. Сборщик логов подов в расчёт не включён.</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0.5</v>
      </c>
      <c r="G20" s="51" t="n">
        <v>0</v>
      </c>
      <c r="H20" s="51" t="n">
        <v>0</v>
      </c>
      <c r="I20" s="53">
        <f>D20*E20</f>
        <v/>
      </c>
      <c r="J20" s="53">
        <f>D20*F20</f>
        <v/>
      </c>
      <c r="K20" s="53">
        <f>D20*G20</f>
        <v/>
      </c>
      <c r="L20" s="53">
        <f>D20*H20</f>
        <v/>
      </c>
      <c r="M20" s="51" t="n">
        <v>2</v>
      </c>
      <c r="N20" s="51" t="n">
        <v>0.25</v>
      </c>
      <c r="O20" s="51" t="n">
        <v>0.5</v>
      </c>
      <c r="P20" s="51" t="n">
        <v>0</v>
      </c>
      <c r="Q20" s="51" t="n">
        <v>0</v>
      </c>
      <c r="R20" s="53">
        <f>M20*N20</f>
        <v/>
      </c>
      <c r="S20" s="53">
        <f>M20*O20</f>
        <v/>
      </c>
      <c r="T20" s="53">
        <f>M20*P20</f>
        <v/>
      </c>
      <c r="U20" s="53">
        <f>M20*Q20</f>
        <v/>
      </c>
      <c r="V20" s="9" t="inlineStr">
        <is>
          <t>Допущение; ОЗУ 0,5 ГиБ с запасом на LangGraph (+34 МиБ, замер).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45" customHeight="1">
      <c r="A27" s="50" t="n">
        <v>12</v>
      </c>
      <c r="B27" s="9" t="inlineStr">
        <is>
          <t>general</t>
        </is>
      </c>
      <c r="C27" s="11" t="inlineStr">
        <is>
          <t>Loki</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0,05 ГБ и 0,52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0,2 ГБ (MVP) и до 2,2 ГБ (тираж; подробные события хранятся 12 месяцев, старше — сводная таблица); диск 20 и 50 ГиБ выбран до пересчёта 25 сентября 2026 и оставлен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0.3</v>
      </c>
      <c r="G8" s="9" t="inlineStr">
        <is>
          <t>Принято 30% в обоих сценариях (25 сентября 2026). Замер на регистре обращений по телефону и почте дал 30%; 70% (форма вопросов Golden Set) в расчёт не берётся.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1000</v>
      </c>
      <c r="D9" s="59" t="n">
        <v>1000</v>
      </c>
      <c r="G9" s="9" t="inlineStr">
        <is>
          <t>Принято 1 000 в обоих сценариях (25 сентября 2026). Замер по 19 вызовам YandexGPT дал 401 на коротких фрагментах FAQ; 3 500 (допущение: системный текст + 3 фрагмента по ≈800 токенов) в расчёт не берётся.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2026-09-25T15:50:00Z</dcterms:created>
  <dcterms:modified xmlns:dcterms="http://purl.org/dc/terms/" xmlns:xsi="http://www.w3.org/2001/XMLSchema-instance" xsi:type="dcterms:W3CDTF">2026-09-25T15:50:00Z</dcterms:modified>
</cp:coreProperties>
</file>