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'Матрица'!$A$2:$S$36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2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Правила по ключевым словам (основной путь) + запасной k-NN по эмбеддингам, когда правила молчат. Запасной классификатор типа обращения покрывает 7 из 16 типов.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не покрыты запасным классификатором: реальные тексты по ним — споры, а не заявки, нужен размеченный корпус вопросов-заявок (его пока нет).</t>
        </is>
      </c>
      <c r="G5" s="9" t="inlineStr">
        <is>
          <t>Расширение запасного классификатора на оставшиеся девять типов; устранение найденных ложных срабатываний.</t>
        </is>
      </c>
      <c r="H5" s="9" t="inlineStr">
        <is>
          <t>Тот же приём: правила + k-NN, порог и разрыв близости подбираются замером.</t>
        </is>
      </c>
      <c r="I5" s="9" t="inlineStr">
        <is>
          <t>Чтобы обращения по всем типам справочника регистрировались автоматически.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14" t="inlineStr">
        <is>
          <t>Без изменений</t>
        </is>
      </c>
      <c r="N5" s="15" t="n"/>
      <c r="O5" s="15" t="n"/>
      <c r="P5" s="16" t="n"/>
      <c r="Q5" s="16" t="n"/>
      <c r="R5" s="15" t="n"/>
      <c r="S5" s="9" t="inlineStr">
        <is>
          <t>ADR-300; ADR-600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LiteLLM с единым OpenAI-совместимым интерфейсом. Внутри контейнера Backend как модуль: Quota → PII-фильтр → LiteLLM → Guardrails.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(retry, circuit breaker, 100+ адаптеров).</t>
        </is>
      </c>
      <c r="F6" s="9" t="inlineStr">
        <is>
          <t>Отдельного контейнера нет — шлюз пока внутри Backend.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LiteLLM, отдельный Deployment.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19" t="n">
        <v>5</v>
      </c>
      <c r="Q9" s="19" t="n">
        <v>10</v>
      </c>
      <c r="R9" s="20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</t>
        </is>
      </c>
      <c r="E10" s="9" t="inlineStr">
        <is>
          <t>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14" t="inlineStr">
        <is>
          <t>Без изменений</t>
        </is>
      </c>
      <c r="N10" s="15" t="n"/>
      <c r="O10" s="15" t="n"/>
      <c r="P10" s="16" t="n"/>
      <c r="Q10" s="16" t="n"/>
      <c r="R10" s="15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19" t="n">
        <v>5</v>
      </c>
      <c r="Q18" s="19" t="n">
        <v>5</v>
      </c>
      <c r="R18" s="20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19" t="n">
        <v>2</v>
      </c>
      <c r="Q22" s="19" t="n">
        <v>3</v>
      </c>
      <c r="R22" s="20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1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1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1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19" t="n">
        <v>1</v>
      </c>
      <c r="K27" s="19" t="n">
        <v>2</v>
      </c>
      <c r="L27" s="20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1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19" t="n">
        <v>1</v>
      </c>
      <c r="K28" s="19" t="n">
        <v>2</v>
      </c>
      <c r="L28" s="20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1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22" t="n"/>
      <c r="K29" s="22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1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1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22" t="n"/>
      <c r="K31" s="22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22" t="n"/>
      <c r="Q31" s="22" t="n"/>
      <c r="R31" s="9" t="n"/>
      <c r="S31" s="9" t="inlineStr">
        <is>
          <t>ADR-400; ADR-300</t>
        </is>
      </c>
    </row>
    <row r="32">
      <c r="A32" s="9" t="n">
        <v>30</v>
      </c>
      <c r="B32" s="21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22" t="n"/>
      <c r="Q35" s="22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19" t="n">
        <v>3</v>
      </c>
      <c r="Q36" s="19" t="n">
        <v>5</v>
      </c>
      <c r="R36" s="20" t="inlineStr">
        <is>
          <t>ADR-600</t>
        </is>
      </c>
      <c r="S36" s="9" t="inlineStr">
        <is>
          <t>ADR-300; ADR-500; ADR-600</t>
        </is>
      </c>
    </row>
    <row r="38">
      <c r="C38" s="25" t="inlineStr">
        <is>
          <t>Цвет ячеек с оценкой:</t>
        </is>
      </c>
    </row>
    <row r="39">
      <c r="C39" s="26" t="n"/>
      <c r="D39" s="27" t="inlineStr">
        <is>
          <t>цифра прямо из ADR-600</t>
        </is>
      </c>
    </row>
    <row r="40">
      <c r="C40" s="28" t="n"/>
      <c r="D40" s="27" t="inlineStr">
        <is>
          <t>цифра блока ADR-600 (или его доля, распределённая автором) — подтвердить</t>
        </is>
      </c>
    </row>
    <row r="41">
      <c r="C41" s="29" t="n"/>
      <c r="D41" s="27" t="inlineStr">
        <is>
          <t>в ADR-600 нет, оценка автора — подтвердить</t>
        </is>
      </c>
    </row>
    <row r="42">
      <c r="C42" s="30" t="n"/>
      <c r="D42" s="27" t="inlineStr">
        <is>
          <t>изменений на этом этапе нет</t>
        </is>
      </c>
    </row>
  </sheetData>
  <autoFilter ref="A2:S36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SUM('Матрица'!$J$3:$J$36)</f>
        <v/>
      </c>
      <c r="C5" s="33">
        <f>SUM('Матрица'!$K$3:$K$36)</f>
        <v/>
      </c>
      <c r="D5" s="33">
        <f>B5/5</f>
        <v/>
      </c>
      <c r="E5" s="33">
        <f>C5/5</f>
        <v/>
      </c>
      <c r="F5" s="34">
        <f>SUMIF('Матрица'!$L$3:$L$36,"ADR-600",'Матрица'!$J$3:$J$36)</f>
        <v/>
      </c>
      <c r="G5" s="34">
        <f>SUMIF('Матрица'!$L$3:$L$36,"ADR-600",'Матрица'!$K$3:$K$36)</f>
        <v/>
      </c>
      <c r="H5" s="35">
        <f>SUMIF('Матрица'!$L$3:$L$36,"Из блока*",'Матрица'!$J$3:$J$36)</f>
        <v/>
      </c>
      <c r="I5" s="35">
        <f>SUMIF('Матрица'!$L$3:$L$36,"Из блока*",'Матрица'!$K$3:$K$36)</f>
        <v/>
      </c>
      <c r="J5" s="36">
        <f>SUMIF('Матрица'!$L$3:$L$36,"Оценка автора",'Матрица'!$J$3:$J$36)</f>
        <v/>
      </c>
      <c r="K5" s="36">
        <f>SUMIF('Матрица'!$L$3:$L$36,"Оценка автора",'Матрица'!$K$3:$K$36)</f>
        <v/>
      </c>
    </row>
    <row r="6">
      <c r="A6" s="11" t="inlineStr">
        <is>
          <t>Тираж — 90 000 абонентов</t>
        </is>
      </c>
      <c r="B6" s="33">
        <f>SUM('Матрица'!$P$3:$P$36)</f>
        <v/>
      </c>
      <c r="C6" s="33">
        <f>SUM('Матрица'!$Q$3:$Q$36)</f>
        <v/>
      </c>
      <c r="D6" s="33">
        <f>B6/5</f>
        <v/>
      </c>
      <c r="E6" s="33">
        <f>C6/5</f>
        <v/>
      </c>
      <c r="F6" s="34">
        <f>SUMIF('Матрица'!$R$3:$R$36,"ADR-600",'Матрица'!$P$3:$P$36)</f>
        <v/>
      </c>
      <c r="G6" s="34">
        <f>SUMIF('Матрица'!$R$3:$R$36,"ADR-600",'Матрица'!$Q$3:$Q$36)</f>
        <v/>
      </c>
      <c r="H6" s="35">
        <f>SUMIF('Матрица'!$R$3:$R$36,"Из блока*",'Матрица'!$P$3:$P$36)</f>
        <v/>
      </c>
      <c r="I6" s="35">
        <f>SUMIF('Матрица'!$R$3:$R$36,"Из блока*",'Матрица'!$Q$3:$Q$36)</f>
        <v/>
      </c>
      <c r="J6" s="36">
        <f>SUMIF('Матрица'!$R$3:$R$36,"Оценка автора",'Матрица'!$P$3:$P$36)</f>
        <v/>
      </c>
      <c r="K6" s="36">
        <f>SUMIF('Матрица'!$R$3:$R$36,"Оценка автора",'Матрица'!$Q$3:$Q$36)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SUMIF('Матрица'!$L$3:$L$36,"Из блока ADR-600: P0",'Матрица'!$J$3:$J$36)</f>
        <v/>
      </c>
      <c r="E15" s="33">
        <f>SUMIF('Матрица'!$L$3:$L$36,"Из блока ADR-600: P0",'Матрица'!$K$3:$K$36)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SUMIF('Матрица'!$L$3:$L$36,"Из блока ADR-600: Согласования",'Матрица'!$J$3:$J$36)</f>
        <v/>
      </c>
      <c r="E16" s="33">
        <f>SUMIF('Матрица'!$L$3:$L$36,"Из блока ADR-600: Согласования",'Матрица'!$K$3:$K$36)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SUMIF('Матрица'!$L$3:$L$36,"Из блока ADR-600: Качество поиска и классификации",'Матрица'!$J$3:$J$36)</f>
        <v/>
      </c>
      <c r="E17" s="33">
        <f>SUMIF('Матрица'!$L$3:$L$36,"Из блока ADR-600: Качество поиска и классификации",'Матрица'!$K$3:$K$36)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SUMIF('Матрица'!$L$3:$L$36,"Из блока ADR-600: Основная разработка Этапа 2",'Матрица'!$J$3:$J$36)</f>
        <v/>
      </c>
      <c r="E18" s="33">
        <f>SUMIF('Матрица'!$L$3:$L$36,"Из блока ADR-600: Основная разработка Этапа 2",'Матрица'!$K$3:$K$36)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SUMIF('Матрица'!$L$3:$L$36,"Из блока ADR-600: Документация и ИБ",'Матрица'!$J$3:$J$36)</f>
        <v/>
      </c>
      <c r="E19" s="33">
        <f>SUMIF('Матрица'!$L$3:$L$36,"Из блока ADR-600: Документация и ИБ",'Матрица'!$K$3:$K$36)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Итого по блокам</t>
        </is>
      </c>
      <c r="B20" s="37">
        <f>SUM(B15:B19)</f>
        <v/>
      </c>
      <c r="C20" s="37">
        <f>SUM(C15:C19)</f>
        <v/>
      </c>
      <c r="D20" s="37">
        <f>SUM(D15:D19)</f>
        <v/>
      </c>
      <c r="E20" s="37">
        <f>SUM(E15:E19)</f>
        <v/>
      </c>
      <c r="F20" s="44">
        <f>IF(AND(D20=B20,E20=C20),"да","НЕТ")</f>
        <v/>
      </c>
      <c r="G20" s="9" t="inlineStr">
        <is>
          <t>ADR-600 называет итог ≈9–13 недель (≈45–65 чел-дн); сумма блоков 46,5–70,5 — округление в самом ADR-600</t>
        </is>
      </c>
    </row>
    <row r="22">
      <c r="A22" s="42" t="inlineStr">
        <is>
          <t>Затраты, которые не выражаются человеко-днями</t>
        </is>
      </c>
    </row>
    <row r="23">
      <c r="A23" s="5" t="inlineStr">
        <is>
          <t>Контур</t>
        </is>
      </c>
      <c r="B23" s="5" t="inlineStr">
        <is>
          <t>Статья</t>
        </is>
      </c>
      <c r="C23" s="5" t="inlineStr">
        <is>
          <t>Значение / комментарий</t>
        </is>
      </c>
      <c r="D23" s="5" t="inlineStr">
        <is>
          <t>От</t>
        </is>
      </c>
      <c r="E23" s="5" t="inlineStr">
        <is>
          <t>До</t>
        </is>
      </c>
      <c r="F23" s="5" t="inlineStr">
        <is>
          <t>Единица</t>
        </is>
      </c>
      <c r="G23" s="5" t="inlineStr">
        <is>
          <t>Источник</t>
        </is>
      </c>
    </row>
    <row r="24">
      <c r="A24" s="11" t="inlineStr">
        <is>
          <t>MVP</t>
        </is>
      </c>
      <c r="B24" s="9" t="inlineStr">
        <is>
          <t>Токены генерации (YandexGPT Pro, 0,8 ₽ за 1000 токенов)</t>
        </is>
      </c>
      <c r="C24" s="9" t="inlineStr">
        <is>
          <t>≈146 ₽/мес при базовом сценарии (10% визитов, 30% до модели) — ≈1 698 ₽/мес при максимальном (50%, 70%)</t>
        </is>
      </c>
      <c r="D24" s="41" t="n">
        <v>146</v>
      </c>
      <c r="E24" s="41" t="n">
        <v>1698</v>
      </c>
      <c r="F24" s="9" t="inlineStr">
        <is>
          <t>₽/мес</t>
        </is>
      </c>
      <c r="G24" s="9" t="inlineStr">
        <is>
          <t>ADR-500</t>
        </is>
      </c>
    </row>
    <row r="25">
      <c r="A25" s="11" t="inlineStr">
        <is>
          <t>MVP</t>
        </is>
      </c>
      <c r="B25" s="9" t="inlineStr">
        <is>
          <t>GPU-сервер под эмбеддинги и реранкер</t>
        </is>
      </c>
      <c r="C25" s="9" t="inlineStr">
        <is>
          <t>Не оценён отдельной строкой сметы</t>
        </is>
      </c>
      <c r="D25" s="41" t="n"/>
      <c r="E25" s="41" t="n"/>
      <c r="F25" s="9" t="inlineStr">
        <is>
          <t>₽</t>
        </is>
      </c>
      <c r="G25" s="9" t="inlineStr">
        <is>
          <t>ADR-500 (открытый пункт)</t>
        </is>
      </c>
    </row>
    <row r="26">
      <c r="A26" s="11" t="inlineStr">
        <is>
          <t>MVP</t>
        </is>
      </c>
      <c r="B26" s="9" t="inlineStr">
        <is>
          <t>Kubernetes-кластер, хранилища, наблюдаемость (железо, размещение, обслуживание)</t>
        </is>
      </c>
      <c r="C26" s="9" t="inlineStr">
        <is>
          <t>Не оценены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Тираж</t>
        </is>
      </c>
      <c r="B27" s="9" t="inlineStr">
        <is>
          <t>Карта A100 80 ГБ (покупка)</t>
        </is>
      </c>
      <c r="C27" s="9" t="inlineStr">
        <is>
          <t>OEM ≈927 000 ₽; оригинал/сертифицированная ≈2 368 080 ₽ (аренда 35–50 тыс. ₽/мес исключена триггером)</t>
        </is>
      </c>
      <c r="D27" s="41" t="n">
        <v>927000</v>
      </c>
      <c r="E27" s="41" t="n">
        <v>2368080</v>
      </c>
      <c r="F27" s="9" t="inlineStr">
        <is>
          <t>₽</t>
        </is>
      </c>
      <c r="G27" s="9" t="inlineStr">
        <is>
          <t>ADR-500</t>
        </is>
      </c>
    </row>
    <row r="28">
      <c r="A28" s="11" t="inlineStr">
        <is>
          <t>Тираж</t>
        </is>
      </c>
      <c r="B28" s="9" t="inlineStr">
        <is>
          <t>Сервер-хост, электричество, размещение, обслуживание GPU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30">
      <c r="A30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15–23 чел-дн (3–5 + 5 + 2–3 + 5–10), сам документ округляет до «3–4 недель» (15–20).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9">
      <c r="B39" s="42" t="inlineStr">
        <is>
          <t>Документы-источники</t>
        </is>
      </c>
    </row>
    <row r="40">
      <c r="B40" s="11" t="inlineStr">
        <is>
          <t>ADR-100</t>
        </is>
      </c>
      <c r="C40" s="9" t="inlineStr">
        <is>
          <t>Что сдано и что отложено; таблица «целевой компонент — замена на прототипе»</t>
        </is>
      </c>
    </row>
    <row r="41">
      <c r="B41" s="11" t="inlineStr">
        <is>
          <t>ADR-200</t>
        </is>
      </c>
      <c r="C41" s="9" t="inlineStr">
        <is>
          <t>Стек по слоям, альтернативы, сравнение Python/Go/Node.js</t>
        </is>
      </c>
    </row>
    <row r="42">
      <c r="B42" s="11" t="inlineStr">
        <is>
          <t>ADR-300</t>
        </is>
      </c>
      <c r="C42" s="9" t="inlineStr">
        <is>
          <t>Модели: классификация, эмбеддинги, реранкер, генерация, судья</t>
        </is>
      </c>
    </row>
    <row r="43">
      <c r="B43" s="11" t="inlineStr">
        <is>
          <t>ADR-400</t>
        </is>
      </c>
      <c r="C43" s="9" t="inlineStr">
        <is>
          <t>Безопасность по контурам, открытые пункты</t>
        </is>
      </c>
    </row>
    <row r="44">
      <c r="B44" s="11" t="inlineStr">
        <is>
          <t>ADR-500</t>
        </is>
      </c>
      <c r="C44" s="9" t="inlineStr">
        <is>
          <t>Ресурсы и стоимость: прототип, MVP, тираж</t>
        </is>
      </c>
    </row>
    <row r="45">
      <c r="B45" s="11" t="inlineStr">
        <is>
          <t>ADR-600</t>
        </is>
      </c>
      <c r="C45" s="9" t="inlineStr">
        <is>
          <t>План развития и укрупнённые оценки трудозатрат</t>
        </is>
      </c>
    </row>
    <row r="46">
      <c r="B46" s="11" t="inlineStr">
        <is>
          <t>C4_Deployment, C3/*</t>
        </is>
      </c>
      <c r="C46" s="9" t="inlineStr">
        <is>
          <t>Целевая схема развёртывания и компоненты</t>
        </is>
      </c>
    </row>
    <row r="47">
      <c r="B47" s="11" t="inlineStr">
        <is>
          <t>Код и docker-compose.yml</t>
        </is>
      </c>
      <c r="C47" s="9" t="inlineStr">
        <is>
          <t>Проверка колонки «Сейчас»</t>
        </is>
      </c>
    </row>
  </sheetData>
  <mergeCells count="14">
    <mergeCell ref="C40:F40"/>
    <mergeCell ref="C47:F47"/>
    <mergeCell ref="C45:F45"/>
    <mergeCell ref="C3:F3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2026-09-24T10:54:38Z</dcterms:created>
  <dcterms:modified xmlns:dcterms="http://purl.org/dc/terms/" xmlns:xsi="http://www.w3.org/2001/XMLSchema-instance" xsi:type="dcterms:W3CDTF">2026-09-24T10:54:38Z</dcterms:modified>
</cp:coreProperties>
</file>