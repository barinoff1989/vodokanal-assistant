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  <sheet xmlns:r="http://schemas.openxmlformats.org/officeDocument/2006/relationships" name="Объём по контейнерам" sheetId="4" state="visible" r:id="rId4"/>
    <sheet xmlns:r="http://schemas.openxmlformats.org/officeDocument/2006/relationships" name="Sizing" sheetId="5" state="visible" r:id="rId5"/>
    <sheet xmlns:r="http://schemas.openxmlformats.org/officeDocument/2006/relationships" name="Прогноз стоимости" sheetId="6" state="visible" r:id="rId6"/>
  </sheets>
  <definedNames>
    <definedName name="_xlnm._FilterDatabase" localSheetId="0" hidden="1">'Матрица'!$A$2:$V$40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#"/>
    <numFmt numFmtId="166" formatCode="#,##0.0#"/>
    <numFmt numFmtId="167" formatCode="0.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164" fontId="3" fillId="6" borderId="1" applyAlignment="1" pivotButton="0" quotePrefix="0" xfId="0">
      <alignment horizontal="center" vertical="top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3" fillId="8" borderId="1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top"/>
    </xf>
    <xf numFmtId="9" fontId="3" fillId="8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166" fontId="3" fillId="8" borderId="1" applyAlignment="1" pivotButton="0" quotePrefix="0" xfId="0">
      <alignment vertical="top" wrapText="1"/>
    </xf>
    <xf numFmtId="2" fontId="3" fillId="8" borderId="1" applyAlignment="1" pivotButton="0" quotePrefix="0" xfId="0">
      <alignment vertical="top" wrapText="1"/>
    </xf>
    <xf numFmtId="3" fontId="3" fillId="8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167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6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(на отложенной трети выборки охват 75%, точность 65%; выборка мала).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 Классификация даёт одну тему и один тип на реплику; несколько задач в реплике разбирает детектор намерений (`app/agents/intents.py`, реализован на прототипе). Замер: 31 из 136 настоящих обращений (23%) подходят под несколько типов по ключевым словам — это пересечение слов; детектор на тех же текстах находит несколько задач в 1 из 136 (0,7%). Доля по разметке людьми не измерена — при доле выше 5% агент переводится на LangGraph (триггер 4, ADR-200).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(по документации библиотеки: 100+ адаптеров, единый интерфейс; в проекте настроены повторы и цепочки запасных, circuit breaker не настроен; переключение на запасного сработало на живом трафике — шесть вызовов ушли на локальную модель при пустом ключе). Отдельный прокси-сервер LiteLLM на прототипе не взят: это второй процесс со своим портом и конфигурацией, память отдельного процесса LiteLLM не измерялась (на машине 15 ГБ, контейнер Backend занимает 1,32 ГиБ);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Postgres;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(по документации — имена и адреса, но не СНИЛС, ИНН, лицевой счёт, телефон, почту; не проверялась)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(бюджет 50 мс; замер 24.09.2026: на ответе ≈800 знаков P95 ≈49 мс, на ≈2 000 знаков P95 ≈120 мс — на длинных ответах бюджет не держится, проверяется весь накопленный текст): ПДн в ответе, тон, разглашение промпта, ложное «сделал» (модель пишет, что выполнила операцию)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не измерялась (на CPU есть риск), LLM-судья работает секундами — у YandexGPT первый кусок приходит за 0,3–21 с (19 вызовов),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 Ложное «сделал» ловится правилом `unperformed_action` (начало предложения с глаголом первого лица) и правилом в промпте; до них модель отвечала «Передал показания 1234. Проверил наличие долга — его нет». Перечень глаголов собран вручную, частота ложных блокировок и пропусков на живых ответах неизвестна.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по 19 вызовам: медиана 0,78 с, P90 5,6 с, максимум 21,7 с (ориентир 0,5 с не достигнут); до конца ответа — медиана 2,6 с.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(в проекте заложено 34 ГБ весов плюс запас под кэш; на GPU не проверялось, а для INT4 по общим сведениям ожидается около 17–20 ГБ — 34 ГБ скорее соответствуют 8-битному представлению).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22–37 мс на запрос (первый замер и повтор 24.09.2026) — укладывается в бюджет 100 мс с запасом ≈3–4,5 раза.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2,14 ГиБ (fp32; прежние 4,25 ГБ — две копии весов в кэше), 210–300 мс на CPU (в 2–3 раза выше бюджета; на GPU не измерялась),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В кластере владельца GPU нет: на MVP — e5-small на CPU (36–37 мс на запрос, замер); BGE-M3 на GPU — только если владелец после проверки на реальных данных решит добавить GPU-узел (строка «GPU-узел в кластере владельца»); сами тесты BGE-M3 идут офлайн на CPU.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Без GPU: sentence-transformers, e5-small на CPU (2 реплики). С GPU-узлом: BGE-M3, сервис `embedding-inference`.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(повтор 24.09.2026 — 7,2 с) при бюджете 100 мс; на GPU не измерялся.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 — но замер устарел: сделан на корпусе из 20 фрагментов, где топ-20 — весь корпус; на текущем индексе косинус даёт 12 из 30, выигрыш реранкера над ним не измерялся, а на 30–100 тыс. векторов MVP зависит от полноты первой ступени.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J11" s="9" t="inlineStr">
        <is>
          <t>Без GPU-узла остаётся выключенным (на CPU 7,2 с при бюджете 100 мс); включается только если владелец после проверки на реальных данных решит купить GPU-узел. Качество реранкеров проверяется офлайн на CPU.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(5–7 чел-дн); первым шагом — повторный замер базовой линии на текущем индексе, прежний сделан на корпусе из 20 фрагментов — после выбора модели эмбеддингов.</t>
        </is>
      </c>
      <c r="K11" s="9" t="inlineStr">
        <is>
          <t>Без GPU: выключен. С GPU-узлом: BGE-reranker-v2-m3, сервис `reranker-inference`.</t>
        </is>
      </c>
      <c r="L11" s="9" t="inlineStr">
        <is>
          <t>Уточнение выдачи; на GPU укладывается в бюджет задержки.</t>
        </is>
      </c>
      <c r="M11" s="17" t="n">
        <v>7</v>
      </c>
      <c r="N11" s="17" t="n">
        <v>10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Объём заложен: несколько тысяч документов (3 000–5 000) × 10–20 частей на документ (допущение) = 30 000–100 000 векторов размерности 1 024 (BGE-M3), 123–410 МБ. Замер Qdrant на 100 000 случайных векторов: 477 МБ на диске, ОЗУ 527 МиБ; P50 27,5 мс / P99 64,9 мс без фильтра, 14,3 / 36,8 мс с фильтром по типу — в бюджете 100 мс. pgvector не отклонён по качеству: на этом объёме рабочая альтернатива (не измерялась), Qdrant выбран из-за алиасов коллекций (blue-green уже в коде) и отдельной нагрузки от основной базы. Milvus и OpenSearch — по документации, не измерялись.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без Redis; возврат Redis — по итогам замера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Redis для профиля не берётся: выигрыш над индексным чтением Postgres не показан, второй источник данных — цена без пользы; на MVP закладывается замер чтения (1,5–2 чел-дн), Redis возвращается только если замер не уложится в бюджет.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(REST); замер чтения профиля из Postgres под нагрузкой MVP (1,5–2 чел-дн, ADR-600).</t>
        </is>
      </c>
      <c r="K13" s="9" t="inlineStr">
        <is>
          <t>Kubernetes CronJob → Postgres (материализованное представление). Без Redis; возврат Redis — только по итогам замера.</t>
        </is>
      </c>
      <c r="L13" s="9" t="inlineStr">
        <is>
          <t>Ответ читает готовый агрегат по индексу, без обращения к первичным системам; планировщик по расписанию (Kubernetes CronJob), предусмотренный в схеме развёртывания (кластера пока нет).</t>
        </is>
      </c>
      <c r="M13" s="22" t="n">
        <v>6.5</v>
      </c>
      <c r="N13" s="12" t="n">
        <v>10</v>
      </c>
      <c r="O13" s="13" t="inlineStr">
        <is>
          <t>Оценка автора; замер профиля — ADR-600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ADR-600;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(по нагрузке справился бы — пик до 0,66 вопроса/с на тираже в максимуме прогноза; счётчик с окном пришлось бы писать вручную)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события, телеметрия)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Телеметрия остаётся в Postgres, а не в ClickHouse: до ≈0,8 млн событий в год на тираже; замер 2 млн строк — 589 МБ, агрегаты за секунды (ADR-200).</t>
        </is>
      </c>
      <c r="H15" s="9" t="inlineStr">
        <is>
          <t>ADR-200, раздел «Сравнение вариантов по слоям», подраздел «Почему PostgreSQL и Redis»; телеметрия — подраздел «Телеметрия: почему Postgres, а не ClickHouse»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для состояния, обращений и телеметрии (события использования, отчёты качества);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 Отдельная СУБД под телеметрию не нужна: объём мал (строка «ClickHouse» убрана, её оценка 2–4 чел-дн снята).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9" t="inlineStr">
        <is>
          <t>Срок хранения подробных событий 12 месяцев, сводная таблица по дням и секции по месяцам; замер на 4 млн строк.</t>
        </is>
      </c>
      <c r="Q15" s="9" t="inlineStr">
        <is>
          <t>Postgres: секционирование по месяцам, сводная таблица (материализованное представление или задание по расписанию).</t>
        </is>
      </c>
      <c r="R15" s="9" t="inlineStr">
        <is>
          <t>На 12 млн строк агрегат по всей таблице занимает 39 с (замер); без ограничения срока хранения аналитика замедляется.</t>
        </is>
      </c>
      <c r="S15" s="12" t="n">
        <v>2</v>
      </c>
      <c r="T15" s="12" t="n">
        <v>3</v>
      </c>
      <c r="U15" s="13" t="inlineStr">
        <is>
          <t>Оценка автора</t>
        </is>
      </c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Индексация базы знаний (ETL)</t>
        </is>
      </c>
      <c r="D16" s="9" t="inlineStr">
        <is>
          <t>ETL индексации; Qdrant; embedding-inference; хранилище документов базы знаний</t>
        </is>
      </c>
      <c r="E16" s="9" t="inlineStr">
        <is>
          <t>Python-скрипт `scripts/reindex_kb.py` (сервис `reindex` в docker compose): python-docx → нарезка частей до 300 знаков → Presidio (проверка ПДн) → sentence-transformers (e5-small, CPU) → qdrant-client (blue-green алиас); MVP — K8s CronJob, Celery в коде нет</t>
        </is>
      </c>
      <c r="F16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 Очереди задач и Celery в коде нет. В базе сейчас 27 источников (20 пар FAQ и 7 синтетических документов Word) → 51 фрагмент → 190 векторов.</t>
        </is>
      </c>
      <c r="G16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 — по документации, пробного внедрения не было. Celery Beat в коде не используется. Объём MVP — несколько тысяч документов (3 000–5 000), 30 000–100 000 частей (допущение); по замеру на CPU e5-small индексирует их за ≈14–46 мин, BGE-M3 — за ≈2,7–9,6 ч при окне 3 ч; на GPU скорость не измерялась.</t>
        </is>
      </c>
      <c r="H16" s="9" t="inlineStr">
        <is>
          <t>ADR-200, раздел «Сравнение вариантов по слоям», подраздел «Почему индексация — задание по расписанию, а не Airflow» и подраздел «Индексация базы знаний: что реализовано и какой объём»</t>
        </is>
      </c>
      <c r="I16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6" s="9" t="inlineStr">
        <is>
          <t>Ночное окно 02:00–05:00: забор документов, очистка, эмбеддинги на GPU, полный реиндекс. Что «окна хватит» на 30–100 тыс. частей на GPU — допущение, скорость на GPU не измерялась; источник и формат настоящих документов владелец не назвал.</t>
        </is>
      </c>
      <c r="K16" s="9" t="inlineStr">
        <is>
          <t>Kubernetes CronJob, окно обслуживания, жёсткая граница по времени. Разбор — python-docx; ПДн — Presidio; эмбеддинги — модель по итогам теста (BGE-M3 предварительно); запись — qdrant-client, blue-green алиас.</t>
        </is>
      </c>
      <c r="L16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6" s="12" t="n">
        <v>4</v>
      </c>
      <c r="N16" s="12" t="n">
        <v>6</v>
      </c>
      <c r="O16" s="13" t="inlineStr">
        <is>
          <t>Оценка автора</t>
        </is>
      </c>
      <c r="P16" s="9" t="inlineStr">
        <is>
          <t>Изоляция GPU между индексацией и онлайн-инференсом.</t>
        </is>
      </c>
      <c r="Q16" s="9" t="inlineStr">
        <is>
          <t>Приоритетные очереди либо отдельный GPU-пул.</t>
        </is>
      </c>
      <c r="R16" s="9" t="inlineStr">
        <is>
          <t>Появляется вторая постоянная нагрузка на GPU (генерация), и индексация не должна её задерживать.</t>
        </is>
      </c>
      <c r="S16" s="12" t="n">
        <v>3</v>
      </c>
      <c r="T16" s="12" t="n">
        <v>5</v>
      </c>
      <c r="U16" s="13" t="inlineStr">
        <is>
          <t>Оценка автора</t>
        </is>
      </c>
      <c r="V16" s="9" t="inlineStr">
        <is>
          <t>ADR-400; ADR-600; C4_Deployment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Агент операций записи (Orchestrator, HITL, аудит)</t>
        </is>
      </c>
      <c r="D17" s="9" t="inlineStr">
        <is>
          <t>Agent Orchestrator; Backend; Session State Store (Redis / PostgreSQL); LLM Gateway</t>
        </is>
      </c>
      <c r="E17" s="9" t="inlineStr">
        <is>
          <t>Python; собственный конечный автомат (`app/fsm.py`) на перечислениях; сессии в Redis / PostgreSQL</t>
        </is>
      </c>
      <c r="F17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7" s="9" t="inlineStr">
        <is>
          <t>Свой автомат (7 состояний, 10 переходов, 200 строк, перебор всех состояний в тестах) против `transitions` (строковые ключи, дефект уже случался) и LangGraph (второй механизм подтверждения; возможности — ветвление по инструментам, контрольные точки, параллельные ветви — по документации, не пробовались). Вес LangGraph замерен: +34 МиБ ОЗУ и 2,3 с на импорт, ≈2,6% контейнера Backend — не довод против. LangGraph — по триггеру; проверить возможности нечем, пока нет агентного сценария. Другие движки не сравнивались.</t>
        </is>
      </c>
      <c r="H17" s="9" t="inlineStr">
        <is>
          <t>ADR-200, раздел «Backend и оркестрация»: строка «Оркестрация агента» и подраздел «Оркестрация агента: собственная таблица переходов, LangGraph — по триггеру»</t>
        </is>
      </c>
      <c r="I17" s="9" t="inlineStr">
        <is>
          <t>Оценка function-calling у провайдеров РФ для роли агента — открытый вопрос. Реплика с несколькими задачами разбирается и отвечается по частям; регистрация предлагается по первой подходящей части, несколько черновиков не хранятся; из условий проверяется только наличие долга (ADR-200). Доля реплик с двумя и более задачами по разметке не измерена: выше 5% — переход на LangGraph.</t>
        </is>
      </c>
      <c r="J17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7" s="9" t="inlineStr">
        <is>
          <t>Свой FSM, Draft Validator, Audit Writer, Session State Store.</t>
        </is>
      </c>
      <c r="L17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7" s="17" t="n">
        <v>4</v>
      </c>
      <c r="N17" s="17" t="n">
        <v>6</v>
      </c>
      <c r="O17" s="18" t="inlineStr">
        <is>
          <t>Из блока ADR-600: Основная разработка Этапа 2</t>
        </is>
      </c>
      <c r="P17" s="9" t="inlineStr">
        <is>
          <t>Оценка function-calling для роли агента у провайдеров РФ.</t>
        </is>
      </c>
      <c r="Q17" s="9" t="inlineStr">
        <is>
          <t>Прогон эталонных сценариев через кандидатов.</t>
        </is>
      </c>
      <c r="R17" s="9" t="inlineStr">
        <is>
          <t>От результата зависит, можно ли доверить агенту роль на self-hosted модели.</t>
        </is>
      </c>
      <c r="S17" s="20" t="n">
        <v>5</v>
      </c>
      <c r="T17" s="20" t="n">
        <v>5</v>
      </c>
      <c r="U17" s="21" t="inlineStr">
        <is>
          <t>ADR-600</t>
        </is>
      </c>
      <c r="V17" s="9" t="inlineStr">
        <is>
          <t>ADR-100; ADR-200; ADR-400; ADR-600</t>
        </is>
      </c>
    </row>
    <row r="18">
      <c r="A18" s="9" t="n">
        <v>16</v>
      </c>
      <c r="B18" s="23" t="inlineStr">
        <is>
          <t>Сквозная работа</t>
        </is>
      </c>
      <c r="C18" s="11" t="inlineStr">
        <is>
          <t>Переход агента на LangGraph (по триггеру)</t>
        </is>
      </c>
      <c r="D18" s="9" t="inlineStr">
        <is>
          <t>Agent Orchestrator; Session State Store (Redis / PostgreSQL); Billing Adapter, Сервис работы с обращениями, Диспетчерская (как инструменты); LLM Gateway</t>
        </is>
      </c>
      <c r="E18" s="9" t="inlineStr">
        <is>
          <t>Python; LangGraph `StateGraph`, `interrupt_before` (или без него); хранилище контрольных точек; отключённая телеметрия `langsmith`</t>
        </is>
      </c>
      <c r="F18" s="9" t="inlineStr">
        <is>
          <t>Не выполняется: автомат — собственная таблица переходов (`app/fsm.py`, 7 состояний, 10 переходов). Работа появляется только при наступлении одного из четырёх триггеров (модель выбирает следующий шаг после вызова инструмента; шаг ждёт событие дольше 30 минут и должен продолжиться с того же шага; две и более одновременные ветви со своими повторами и слиянием; доля реплик с двумя и более задачами выше 5%). Проверяется при постановке сценария Этапа 2 в разработку, при его изменении и при пересмотре по метрикам Этапа 1; журнал проверки — в ADR-200; пока ни один сценарий не поставлен.</t>
        </is>
      </c>
      <c r="G18" s="9" t="inlineStr">
        <is>
          <t>Свой автомат против `transitions` и LangGraph — ADR-200, подраздел «Оркестрация агента». LangGraph нужен, если агент сам выбирает инструмент, если нужны контрольные точки шагов, если появились параллельные ветви со своим состоянием; для фиксированной заявки с одним подтверждением не нужен.</t>
        </is>
      </c>
      <c r="H18" s="9" t="inlineStr">
        <is>
          <t>ADR-200, подраздел «Оркестрация агента: собственная таблица переходов, LangGraph — по триггеру», в том числе «В каком случае LangGraph нужен — подробно»</t>
        </is>
      </c>
      <c r="I18" s="9" t="inlineStr">
        <is>
          <t>Оценка function-calling у GigaChat и YandexGPT не проведена; возможности LangGraph в проекте не пробовались; телеметрия библиотеки (`langsmith`) не проверена на соответствие 152-ФЗ. Четвёртый триггер — доля реплик абонентов с двумя и более задачами выше 5% (измерение на выгрузке живых обращений и затем ежемесячно по чату). Оценка по триггерам: общая часть 5–9 чел-дн; с триггером 1 — 8–14, 2 — 7–12, 3 — 7–12, 4 — 7–13; все четыре — 14–24 (диапазон 7–24).</t>
        </is>
      </c>
      <c r="J18" s="9" t="inlineStr">
        <is>
          <t>Перенос таблицы переходов в граф без изменения состава переходов; `interrupt_before` вместо проверки состояния или не применяется; контрольные точки (Redis с сохранением или Postgres) и удаление ПДн из состояния; при триггере 1 — инструменты (Биллинг, обращения, Диспетчерская) с ограничением шагов, идемпотентностью и аудитом; отключение внешней телеметрии библиотеки; регрессия; при триггере 4 — перенос детектора намерений и очереди задач в граф, условные задачи.</t>
        </is>
      </c>
      <c r="K18" s="9" t="inlineStr">
        <is>
          <t>Python; LangGraph `StateGraph`; хранилище контрольных точек — Redis с сохранением или Postgres.</t>
        </is>
      </c>
      <c r="L18" s="9" t="inlineStr">
        <is>
          <t>Только по триггеру: возможности, ради которых берут библиотеку, на текущем сценарии проверить нечем. Работа не входит в итог сметы — показана отдельным столбцом.</t>
        </is>
      </c>
      <c r="M18" s="12" t="n">
        <v>7</v>
      </c>
      <c r="N18" s="12" t="n">
        <v>24</v>
      </c>
      <c r="O18" s="13" t="inlineStr">
        <is>
          <t>По триггеру (оценка автора)</t>
        </is>
      </c>
      <c r="P18" s="14" t="inlineStr">
        <is>
          <t>Без изменений</t>
        </is>
      </c>
      <c r="Q18" s="15" t="n"/>
      <c r="R18" s="15" t="n"/>
      <c r="S18" s="16" t="n"/>
      <c r="T18" s="16" t="n"/>
      <c r="U18" s="15" t="n"/>
      <c r="V18" s="9" t="inlineStr">
        <is>
          <t>ADR-200;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Billing Adapter; Биллинг (внешняя система); Agent Orchestrator (HITL Gate)</t>
        </is>
      </c>
      <c r="E19" s="9" t="inlineStr">
        <is>
          <t>Python; XML-RPC-клиент к API Биллинга; ключ идемпотентности</t>
        </is>
      </c>
      <c r="F19" s="9" t="inlineStr">
        <is>
          <t>Не реализован (запись отложена на Этап 2). Чтение идёт из слепка в Postgres.</t>
        </is>
      </c>
      <c r="G19" s="9" t="inlineStr">
        <is>
          <t>Прямой доступ к чужой БД запрещён: только через API владельца.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9" s="9" t="inlineStr">
        <is>
          <t>Запись показаний и операций в Биллинг через XML-RPC с ключом идемпотентности.</t>
        </is>
      </c>
      <c r="K19" s="9" t="inlineStr">
        <is>
          <t>Отдельный контейнер `Billing Adapter`, XML-RPC API Биллинга.</t>
        </is>
      </c>
      <c r="L19" s="9" t="inlineStr">
        <is>
          <t>Единственный разрешённый путь записи в Биллинг; повтор запроса не создаёт дубль.</t>
        </is>
      </c>
      <c r="M19" s="17" t="n">
        <v>4</v>
      </c>
      <c r="N19" s="17" t="n">
        <v>6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Сервис работы с обращениями; Микросервис обращений и Диспетчерская (внешние); Agent Orchestrator; Postgres</t>
        </is>
      </c>
      <c r="E20" s="9" t="inlineStr">
        <is>
          <t>Python; на прототипе запись в таблицу Postgres, на Этапе 2 — HTTP API владельца (сигнатуры не получены)</t>
        </is>
      </c>
      <c r="F20" s="9" t="inlineStr">
        <is>
          <t>Обращение пишется в собственную таблицу Postgres, минуя Orchestrator (`app/inquiries/store.py`).</t>
        </is>
      </c>
      <c r="G20" s="9" t="inlineStr">
        <is>
          <t>Целевой путь — внешний микросервис обращений; на прототипе доступа к нему нет.</t>
        </is>
      </c>
      <c r="H20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20" s="9" t="inlineStr">
        <is>
          <t>Отдельный контейнер, Route Selector: emergency → Диспетчерская, остальные типы → микросервис.</t>
        </is>
      </c>
      <c r="L20" s="9" t="inlineStr">
        <is>
          <t>Обращения должны попадать в систему-владельца, откуда их читают подрядчики и конвейер дообучения.</t>
        </is>
      </c>
      <c r="M20" s="17" t="n">
        <v>3</v>
      </c>
      <c r="N20" s="17" t="n">
        <v>5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Document Generator; Backend (выдача бланка); S3 / MinIO (MVP)</t>
        </is>
      </c>
      <c r="E21" s="9" t="inlineStr">
        <is>
          <t>Прототип — Python: шаблоны бланков и HTML-лист на печать; MVP — PDF-библиотека (не выбрана) + S3 / MinIO</t>
        </is>
      </c>
      <c r="F21" s="9" t="inlineStr">
        <is>
          <t>Готовый бланк отдаётся HTML-листом для печати из каталога (семь образцов по ПП РФ № 644/776).</t>
        </is>
      </c>
      <c r="G21" s="9" t="inlineStr">
        <is>
          <t>PDF и S3/MinIO нужны только при путях записи — для консультации избыточны.</t>
        </is>
      </c>
      <c r="H21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1" s="9" t="inlineStr">
        <is>
          <t>Настоящие бланки заявлений не согласованы с владельцем — используются образцы.</t>
        </is>
      </c>
      <c r="J21" s="9" t="inlineStr">
        <is>
          <t>Рендер PDF из шаблона и слотов, хранение в объектном хранилище, ссылка с ограниченным сроком жизни.</t>
        </is>
      </c>
      <c r="K21" s="9" t="inlineStr">
        <is>
          <t>Генерация PDF (библиотека в ADR не выбрана) + S3 / MinIO.</t>
        </is>
      </c>
      <c r="L21" s="9" t="inlineStr">
        <is>
          <t>Документ, вложенный в диалог, должен быть файлом, а не страницей печати.</t>
        </is>
      </c>
      <c r="M21" s="17" t="n">
        <v>3</v>
      </c>
      <c r="N21" s="17" t="n">
        <v>4</v>
      </c>
      <c r="O21" s="18" t="inlineStr">
        <is>
          <t>Из блока ADR-600: Основная разработка Этапа 2</t>
        </is>
      </c>
      <c r="P21" s="14" t="inlineStr">
        <is>
          <t>Без изменений</t>
        </is>
      </c>
      <c r="Q21" s="15" t="n"/>
      <c r="R21" s="15" t="n"/>
      <c r="S21" s="16" t="n"/>
      <c r="T21" s="16" t="n"/>
      <c r="U21" s="15" t="n"/>
      <c r="V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Все контейнеры (Backend, LLM Gateway, Qdrant, Redis, Postgres, ETL, GPU-сервисы)</t>
        </is>
      </c>
      <c r="E22" s="9" t="inlineStr">
        <is>
          <t>Прототип — Docker Compose на одной машине; MVP — Kubernetes (nginx Ingress, cert-manager)</t>
        </is>
      </c>
      <c r="F22" s="9" t="inlineStr">
        <is>
          <t>`docker compose` на одной машине: postgres, redis, qdrant, reindex, backend.</t>
        </is>
      </c>
      <c r="G22" s="9" t="inlineStr">
        <is>
          <t>Compose на одном или нескольких хостах не переживает отказ узла и не обновляется без остановки; Docker Swarm слабее по GPU и заданиям, меньше сообщество; Nomad — реальная альтернатива, если некому эксплуатировать Kubernetes (проще, встроенная интеграция с Vault). Сравнение по документации, ни один вариант кроме Compose не разворачивался (ADR-200, «Почему Kubernetes»). Для одного разработчика и одного хоста Kubernetes избыточен.</t>
        </is>
      </c>
      <c r="H22" s="9" t="inlineStr">
        <is>
          <t>ADR-200, раздел «Backend и оркестрация»: строки «Оркестрация контейнеров» и «Оркестрация на прототипе» и подраздел «Почему Kubernetes, а не другая оркестрация»</t>
        </is>
      </c>
      <c r="I22" s="9" t="inlineStr">
        <is>
          <t>Решение заказчика проекта (24.09.2026, документально не подтверждено): личный кабинет уже на Kubernetes, размещаемся в том же кластере, эксплуатирует тот же отдел, GPU-узлов нет. Не известны дистрибутив и версия, квоты, классы хранилищ и быстрые диски, есть ли Vault и своя наблюдаемость, сетевые правила. Управляющая часть кластера в расчёт узлов не заложена — размещена на узлах общего пула (допущение). Накладные расходы кластера — порядка 1 vCPU и 2 ГиБ на узел (допущение): более половины полезной нагрузки на MVP; в общем кластере владельца управляющая часть и системные поды общие, расчёт узлов — верхняя оценка. Nomad с Vault — план Б, менее вероятный.</t>
        </is>
      </c>
      <c r="J22" s="9" t="inlineStr">
        <is>
          <t>Размещение в существующем кластере владельца, где работает личный кабинет (эксплуатирует тот же отдел; GPU-узлов нет): пространство имён, квоты, сетевые правила, Ingress, классы хранилищ, манифесты для 20 компонентов, секреты (Vault или механизм кластера). Расчёт по допущениям (лист «Sizing», базовый вариант без GPU): 6 узлов на MVP (4 общих и 2 данных), 7 на тираже (+1 GPU-узел под собственную модель); в общем кластере это верхняя оценка заказываемых узлов, стоимость серверов не оценена.</t>
        </is>
      </c>
      <c r="K22" s="9" t="inlineStr">
        <is>
          <t>Kubernetes владельца (дистрибутив и версия неизвестны); Ingress и сертификаты — по правилам кластера; манифесты приложения.</t>
        </is>
      </c>
      <c r="L22" s="9" t="inlineStr">
        <is>
          <t>Отказоустойчивость, обновление без остановки, пулы узлов с GPU, задания по расписанию, секреты через Vault Agent Injector. Нагрузка ради этого не нужна: запросы всех подов (11,2 vCPU, 23,6 ГиБ) помещаются на один сервер.</t>
        </is>
      </c>
      <c r="M22" s="12" t="n">
        <v>6</v>
      </c>
      <c r="N22" s="12" t="n">
        <v>9</v>
      </c>
      <c r="O22" s="13" t="inlineStr">
        <is>
          <t>Оценка автора</t>
        </is>
      </c>
      <c r="P22" s="9" t="inlineStr">
        <is>
          <t>Согласование платформы с владельцем инфраструктуры: решено размещаться в общем кластере с личным кабинетом (эксплуатирует тот же отдел, GPU нет); остаются дистрибутив и версия, квоты, Vault и наблюдаемость кластера, отечественное ПО; аргументация записана в ADR-200; при необходимости отдельный ADR.</t>
        </is>
      </c>
      <c r="Q22" s="9" t="inlineStr">
        <is>
          <t>—</t>
        </is>
      </c>
      <c r="R22" s="9" t="inlineStr">
        <is>
          <t>Для тиража нужна согласованная платформа, включая GPU-пулы; выбор Kubernetes пока предварительный.</t>
        </is>
      </c>
      <c r="S22" s="20" t="n">
        <v>2</v>
      </c>
      <c r="T22" s="20" t="n">
        <v>3</v>
      </c>
      <c r="U22" s="21" t="inlineStr">
        <is>
          <t>ADR-600</t>
        </is>
      </c>
      <c r="V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Backend; LLM Gateway (ключи провайдеров); все контейнеры (конфигурация)</t>
        </is>
      </c>
      <c r="E23" s="9" t="inlineStr">
        <is>
          <t>Переменные окружения оболочки (передаются через Compose `${VAR}`); Vault dev-режим (опционально); MVP — Vault Agent Injector</t>
        </is>
      </c>
      <c r="F23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3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3" s="9" t="inlineStr">
        <is>
          <t>ADR-200, раздел «Секреты и конфигурация»; ADR-400 («Что добавляется в контуре MVP»)</t>
        </is>
      </c>
      <c r="I23" s="9" t="inlineStr">
        <is>
          <t>Dev-режим Vault сам по себе не безопаснее переменной окружения — это репетиция интеграции, а не защита.</t>
        </is>
      </c>
      <c r="J23" s="9" t="inlineStr">
        <is>
          <t>Vault Agent Injector: секреты попадают в под через sidecar.</t>
        </is>
      </c>
      <c r="K23" s="9" t="inlineStr">
        <is>
          <t>HashiCorp Vault в Kubernetes; используется ли Vault в кластере владельца, неизвестно — возможно, придётся взять их механизм секретов.</t>
        </is>
      </c>
      <c r="L23" s="9" t="inlineStr">
        <is>
          <t>Единый источник истины и отзыв доступа без пересборки образа.</t>
        </is>
      </c>
      <c r="M23" s="12" t="n">
        <v>3</v>
      </c>
      <c r="N23" s="12" t="n">
        <v>5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Backend и LLM Gateway (метрики); все контейнеры (логи); отдельные контейнеры Prometheus, Grafana, Loki, Alertmanager (MVP)</t>
        </is>
      </c>
      <c r="E24" s="9" t="inlineStr">
        <is>
          <t>prometheus-client (метрики на отдельном порту 9100); MVP — Prometheus, Grafana, Loki, Alertmanager</t>
        </is>
      </c>
      <c r="F24" s="9" t="inlineStr">
        <is>
          <t>Метрики Prometheus на отдельном порту, события потока в панели стенда. Дашбордов и сбора логов нет.</t>
        </is>
      </c>
      <c r="G24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4" s="9" t="inlineStr">
        <is>
          <t>ADR-200, раздел «Сравнение вариантов по слоям», подраздел «Почему Prometheus, Grafana, Loki и Alertmanager»</t>
        </is>
      </c>
      <c r="I24" s="9" t="inlineStr">
        <is>
          <t>Метрики есть, но собирать и показывать их нечему.</t>
        </is>
      </c>
      <c r="J24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4" s="9" t="inlineStr">
        <is>
          <t>Prometheus, Grafana, Loki, Alertmanager.</t>
        </is>
      </c>
      <c r="L24" s="9" t="inlineStr">
        <is>
          <t>Без этого нельзя измерять задержку ответа (P99), долю отказов и утечки ПДн на реальных абонентах.</t>
        </is>
      </c>
      <c r="M24" s="12" t="n">
        <v>5</v>
      </c>
      <c r="N24" s="12" t="n">
        <v>8</v>
      </c>
      <c r="O24" s="13" t="inlineStr">
        <is>
          <t>Оценка автора</t>
        </is>
      </c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C4_Deployment; ADR-500</t>
        </is>
      </c>
    </row>
    <row r="25">
      <c r="A25" s="9" t="n">
        <v>23</v>
      </c>
      <c r="B25" s="24" t="inlineStr">
        <is>
          <t>Связь</t>
        </is>
      </c>
      <c r="C25" s="11" t="inlineStr">
        <is>
          <t>Виджет ↔ Backend</t>
        </is>
      </c>
      <c r="D25" s="9" t="inlineStr">
        <is>
          <t>AI-виджет; Backend</t>
        </is>
      </c>
      <c r="E25" s="9" t="inlineStr">
        <is>
          <t>HTTP/JSON; поток SSE (`text/event-stream`); контракт OpenAPI 3</t>
        </is>
      </c>
      <c r="F25" s="9" t="inlineStr">
        <is>
          <t>HTTP + поток SSE; контракт описан в OpenAPI (`API_Spec.yaml`), идентификатор абонента — в метаданных запроса.</t>
        </is>
      </c>
      <c r="G25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5" s="9" t="inlineStr">
        <is>
          <t>ADR-200, раздел «Сравнение вариантов по слоям», подраздел «Протокол потока ответа: SSE»</t>
        </is>
      </c>
      <c r="I25" s="9" t="inlineStr">
        <is>
          <t>Идентификатор абонента передаёт сам клиент — для стенда допустимо, для продакшена нет.</t>
        </is>
      </c>
      <c r="J25" s="14" t="inlineStr">
        <is>
          <t>Без изменений</t>
        </is>
      </c>
      <c r="K25" s="15" t="n"/>
      <c r="L25" s="15" t="inlineStr">
        <is>
          <t>Протокол тот же; токен SSO — в строке про связь с ЛК.</t>
        </is>
      </c>
      <c r="M25" s="16" t="n"/>
      <c r="N25" s="16" t="n"/>
      <c r="O25" s="15" t="n"/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API_Spec.yaml</t>
        </is>
      </c>
    </row>
    <row r="26">
      <c r="A26" s="9" t="n">
        <v>24</v>
      </c>
      <c r="B26" s="24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Backend; Платформа ЛК (внешняя)</t>
        </is>
      </c>
      <c r="E26" s="9" t="inlineStr">
        <is>
          <t>SSO личного кабинета (протокол не выбран); на прототипе — идентификатор в метаданных запроса</t>
        </is>
      </c>
      <c r="F26" s="9" t="inlineStr">
        <is>
          <t>Не подключена: абонент выбирается из справочника стенда.</t>
        </is>
      </c>
      <c r="G26" s="9" t="inlineStr">
        <is>
          <t>Сравнение не проводилось: интеграция с ЛК не начата, протокол SSO ещё не известен.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6" s="9" t="inlineStr">
        <is>
          <t>Настоящей SSO-сессии нет; Auth &amp; Session Middleware — целевой компонент.</t>
        </is>
      </c>
      <c r="J26" s="9" t="inlineStr">
        <is>
          <t>Профиль и сессия абонента берутся из личного кабинета при открытии диалога.</t>
        </is>
      </c>
      <c r="K26" s="9" t="inlineStr">
        <is>
          <t>SSO Платформы ЛК, Auth &amp; Session Middleware в Backend.</t>
        </is>
      </c>
      <c r="L26" s="9" t="inlineStr">
        <is>
          <t>Идентификатор абонента должен приходить от доверенной системы, а не от клиента.</t>
        </is>
      </c>
      <c r="M26" s="17" t="n">
        <v>3</v>
      </c>
      <c r="N26" s="17" t="n">
        <v>5</v>
      </c>
      <c r="O26" s="18" t="inlineStr">
        <is>
          <t>Из блока ADR-600: Основная разработка Этапа 2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4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Backend; Кэш профиля (пересчёт из Биллинга); Биллинг (внешняя)</t>
        </is>
      </c>
      <c r="E27" s="9" t="inlineStr">
        <is>
          <t>XML-RPC API Биллинга; на прототипе — слепок в PostgreSQL</t>
        </is>
      </c>
      <c r="F27" s="9" t="inlineStr">
        <is>
          <t>Чтение из слепка Биллинга в Postgres; для лицевого счёта: долг, начисления, показания, поверка.</t>
        </is>
      </c>
      <c r="G27" s="9" t="inlineStr">
        <is>
          <t>Прямое чтение чужой БД запрещено: только через API владельца.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API Биллинга от владельца не получены.</t>
        </is>
      </c>
      <c r="J27" s="9" t="inlineStr">
        <is>
          <t>Свежие факты запрашиваются у Биллинга в момент вопроса.</t>
        </is>
      </c>
      <c r="K27" s="9" t="inlineStr">
        <is>
          <t>XML-RPC API Биллинга.</t>
        </is>
      </c>
      <c r="L27" s="9" t="inlineStr">
        <is>
          <t>Единственный способ доступа к Биллингу; обходит задержку кэша ради свежести.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ADR-400; ADR-600</t>
        </is>
      </c>
    </row>
    <row r="28">
      <c r="A28" s="9" t="n">
        <v>26</v>
      </c>
      <c r="B28" s="24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Backend; Сервис работы с обращениями; Диспетчерская (внешняя)</t>
        </is>
      </c>
      <c r="E28" s="9" t="inlineStr">
        <is>
          <t>REST API Диспетчерской; на прототипе — локальные данные графика отключений</t>
        </is>
      </c>
      <c r="F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8" s="9" t="inlineStr">
        <is>
          <t>Прямой доступ к чужой БД запрещён.</t>
        </is>
      </c>
      <c r="H2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8" s="9" t="inlineStr">
        <is>
          <t>Сигнатуры REST API Диспетчерской от владельца не получены.</t>
        </is>
      </c>
      <c r="J28" s="9" t="inlineStr">
        <is>
          <t>Чтение статуса аварийной заявки и зоны по API; запись аварийной заявки после подтверждения абонента.</t>
        </is>
      </c>
      <c r="K28" s="9" t="inlineStr">
        <is>
          <t>REST API Диспетчерской.</t>
        </is>
      </c>
      <c r="L28" s="9" t="inlineStr">
        <is>
          <t>Единственный разрешённый путь; аварии должны попадать сразу в диспетчерскую.</t>
        </is>
      </c>
      <c r="M28" s="20" t="n">
        <v>1</v>
      </c>
      <c r="N28" s="20" t="n">
        <v>2</v>
      </c>
      <c r="O28" s="21" t="inlineStr">
        <is>
          <t>ADR-600</t>
        </is>
      </c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ADR-100; ADR-400; ADR-600</t>
        </is>
      </c>
    </row>
    <row r="29">
      <c r="A29" s="9" t="n">
        <v>27</v>
      </c>
      <c r="B29" s="24" t="inlineStr">
        <is>
          <t>Связь</t>
        </is>
      </c>
      <c r="C29" s="11" t="inlineStr">
        <is>
          <t>Backend ↔ LLM Gateway</t>
        </is>
      </c>
      <c r="D29" s="9" t="inlineStr">
        <is>
          <t>Backend; LLM Gateway</t>
        </is>
      </c>
      <c r="E29" s="9" t="inlineStr">
        <is>
          <t>Вызов функции Python в одном процессе; на MVP — HTTP, OpenAI-совместимый протокол</t>
        </is>
      </c>
      <c r="F29" s="9" t="inlineStr">
        <is>
          <t>Вызов внутри одного процесса.</t>
        </is>
      </c>
      <c r="G29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9" s="9" t="inlineStr">
        <is>
          <t>ADR-200, раздел «LLM-хостинг», подраздел «Как устроен шлюз к модели»</t>
        </is>
      </c>
      <c r="I29" s="9" t="inlineStr">
        <is>
          <t>—</t>
        </is>
      </c>
      <c r="J29" s="9" t="inlineStr">
        <is>
          <t>Вызов по сети между контейнерами; OpenAI-совместимый протокол.</t>
        </is>
      </c>
      <c r="K29" s="9" t="inlineStr">
        <is>
          <t>HTTP внутри кластера.</t>
        </is>
      </c>
      <c r="L29" s="9" t="inlineStr">
        <is>
          <t>Следствие выноса шлюза в отдельный контейнер (см. строку LLM Gateway).</t>
        </is>
      </c>
      <c r="M29" s="19" t="n"/>
      <c r="N29" s="19" t="n"/>
      <c r="O29" s="9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4" t="inlineStr">
        <is>
          <t>Связь</t>
        </is>
      </c>
      <c r="C30" s="11" t="inlineStr">
        <is>
          <t>Backend ↔ Qdrant</t>
        </is>
      </c>
      <c r="D30" s="9" t="inlineStr">
        <is>
          <t>Backend; Qdrant</t>
        </is>
      </c>
      <c r="E30" s="9" t="inlineStr">
        <is>
          <t>qdrant-client по HTTP (порт 6333)</t>
        </is>
      </c>
      <c r="F30" s="9" t="inlineStr">
        <is>
          <t>HTTP (порт 6333); запись — отдельным сервисом, Backend только читает готовый индекс.</t>
        </is>
      </c>
      <c r="G30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30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30" s="9" t="inlineStr">
        <is>
          <t>—</t>
        </is>
      </c>
      <c r="J30" s="14" t="inlineStr">
        <is>
          <t>Без изменений</t>
        </is>
      </c>
      <c r="K30" s="15" t="n"/>
      <c r="L30" s="15" t="n"/>
      <c r="M30" s="16" t="n"/>
      <c r="N30" s="16" t="n"/>
      <c r="O30" s="15" t="n"/>
      <c r="P30" s="14" t="inlineStr">
        <is>
          <t>Без изменений</t>
        </is>
      </c>
      <c r="Q30" s="15" t="n"/>
      <c r="R30" s="15" t="n"/>
      <c r="S30" s="16" t="n"/>
      <c r="T30" s="16" t="n"/>
      <c r="U30" s="15" t="n"/>
      <c r="V30" s="9" t="inlineStr">
        <is>
          <t>ADR-200</t>
        </is>
      </c>
    </row>
    <row r="31">
      <c r="A31" s="9" t="n">
        <v>29</v>
      </c>
      <c r="B31" s="24" t="inlineStr">
        <is>
          <t>Связь</t>
        </is>
      </c>
      <c r="C31" s="11" t="inlineStr">
        <is>
          <t>LLM Gateway ↔ LLM Provider</t>
        </is>
      </c>
      <c r="D31" s="9" t="inlineStr">
        <is>
          <t>LLM Gateway; внешний LLM Provider</t>
        </is>
      </c>
      <c r="E31" s="9" t="inlineStr">
        <is>
          <t>HTTPS с проверкой сертификата; LiteLLM (OpenAI-совместимый интерфейс)</t>
        </is>
      </c>
      <c r="F31" s="9" t="inlineStr">
        <is>
          <t>HTTPS с проверкой сертификата: YandexGPT (сертификаты доступны). Проверка TLS не отключается никогда.</t>
        </is>
      </c>
      <c r="G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1" s="9" t="inlineStr">
        <is>
          <t>ADR-400, раздел «Закрыто сейчас» (TLS не отключается); ADR-300, раздел 4</t>
        </is>
      </c>
      <c r="I31" s="9" t="inlineStr">
        <is>
          <t>Для GigaChat нужны корневые сертификаты НУЦ Минцифры — на машине прототипа их нет.</t>
        </is>
      </c>
      <c r="J31" s="9" t="inlineStr">
        <is>
          <t>Канал к GigaChat с корневыми сертификатами НУЦ в образе шлюза; автопереключение на резерв.</t>
        </is>
      </c>
      <c r="K31" s="9" t="inlineStr">
        <is>
          <t>HTTPS, сертификаты НУЦ Минцифры.</t>
        </is>
      </c>
      <c r="L31" s="9" t="inlineStr">
        <is>
          <t>Основной провайдер MVP — GigaChat Pro (входит в работу по строке LLM Provider).</t>
        </is>
      </c>
      <c r="M31" s="19" t="n"/>
      <c r="N31" s="19" t="n"/>
      <c r="O31" s="9" t="n"/>
      <c r="P31" s="9" t="inlineStr">
        <is>
          <t>Вызов собственной модели внутри закрытого контура.</t>
        </is>
      </c>
      <c r="Q31" s="9" t="inlineStr">
        <is>
          <t>OpenAI-совместимый интерфейс vLLM внутри сети водоканала.</t>
        </is>
      </c>
      <c r="R31" s="9" t="inlineStr">
        <is>
          <t>Данные не покидают периметр вообще, а не только территорию РФ.</t>
        </is>
      </c>
      <c r="S31" s="19" t="n"/>
      <c r="T31" s="19" t="n"/>
      <c r="U31" s="9" t="n"/>
      <c r="V31" s="9" t="inlineStr">
        <is>
          <t>ADR-400; ADR-300</t>
        </is>
      </c>
    </row>
    <row r="32">
      <c r="A32" s="9" t="n">
        <v>30</v>
      </c>
      <c r="B32" s="24" t="inlineStr">
        <is>
          <t>Связь</t>
        </is>
      </c>
      <c r="C32" s="11" t="inlineStr">
        <is>
          <t>Индексация → Qdrant</t>
        </is>
      </c>
      <c r="D32" s="9" t="inlineStr">
        <is>
          <t>ETL индексации; Qdrant</t>
        </is>
      </c>
      <c r="E32" s="9" t="inlineStr">
        <is>
          <t>qdrant-client: upsert в новую коллекцию + переключение алиаса (blue-green)</t>
        </is>
      </c>
      <c r="F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2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2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2" s="9" t="inlineStr">
        <is>
          <t>—</t>
        </is>
      </c>
      <c r="J32" s="14" t="inlineStr">
        <is>
          <t>Без изменений</t>
        </is>
      </c>
      <c r="K32" s="15" t="n"/>
      <c r="L32" s="15" t="inlineStr">
        <is>
          <t>Механизм переносится как есть; окно 02:00–05:00 описано в строке про индексацию.</t>
        </is>
      </c>
      <c r="M32" s="16" t="n"/>
      <c r="N32" s="16" t="n"/>
      <c r="O32" s="15" t="n"/>
      <c r="P32" s="14" t="inlineStr">
        <is>
          <t>Без изменений</t>
        </is>
      </c>
      <c r="Q32" s="15" t="n"/>
      <c r="R32" s="15" t="n"/>
      <c r="S32" s="16" t="n"/>
      <c r="T32" s="16" t="n"/>
      <c r="U32" s="15" t="n"/>
      <c r="V32" s="9" t="inlineStr">
        <is>
          <t>ADR-200</t>
        </is>
      </c>
    </row>
    <row r="33">
      <c r="A33" s="9" t="n">
        <v>31</v>
      </c>
      <c r="B33" s="23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Все (сквозная работа); GPU-пул и кластер — как предмет сметы</t>
        </is>
      </c>
      <c r="E33" s="9" t="inlineStr">
        <is>
          <t>Расчётные таблицы (Capacity_Report.html), формулы sizing</t>
        </is>
      </c>
      <c r="F33" s="9" t="inlineStr">
        <is>
          <t>Есть прогнозная модель с минимальным и максимальным сценарием (`Capacity_Report.html`, лист «Прогноз стоимости»): токены на MVP 1 234–101 280 ₽ в месяц, на тираже 3 305 ₽–1,07 млн ₽; цен на серверы и GPU нет. Это не смета: числа не утверждены владельцем (открытый P0).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расчёт — Capacity_Report.html, стоимость — ADR-500</t>
        </is>
      </c>
      <c r="I33" s="9" t="inlineStr">
        <is>
          <t>Разброс стоимости токенов на MVP — ×82 между минимумом и максимумом; без статистики ЛК, колл-центра и живых обращений смета остаётся диапазоном.</t>
        </is>
      </c>
      <c r="J33" s="9" t="inlineStr">
        <is>
          <t>Смета по ценам поставщика, расчёт NFR под конкретную GPU-конфигурацию, подтверждение допущений статистикой. Первый пересчёт сметы по данным обращений и ЛК (3–5 чел-дн, после получения данных) и повторный по пилоту (1–2 чел-дн): подставить данные в лист «Прогноз стоимости», пересчитать нагрузку, стоимость и sizing, обновить отчёт о мощности, ADR-500 и матрицу.</t>
        </is>
      </c>
      <c r="K33" s="9" t="inlineStr">
        <is>
          <t>—</t>
        </is>
      </c>
      <c r="L33" s="9" t="inlineStr">
        <is>
          <t>Без этого нельзя защищать бюджет.</t>
        </is>
      </c>
      <c r="M33" s="25" t="n">
        <v>11.5</v>
      </c>
      <c r="N33" s="17" t="n">
        <v>17</v>
      </c>
      <c r="O33" s="18" t="inlineStr">
        <is>
          <t>Из блока ADR-600: P0</t>
        </is>
      </c>
      <c r="P33" s="14" t="inlineStr">
        <is>
          <t>Без изменений</t>
        </is>
      </c>
      <c r="Q33" s="15" t="n"/>
      <c r="R33" s="15" t="inlineStr">
        <is>
          <t>Пересчёт NFR под 90 000 абонентов уже сделан.</t>
        </is>
      </c>
      <c r="S33" s="16" t="n"/>
      <c r="T33" s="16" t="n"/>
      <c r="U33" s="15" t="n"/>
      <c r="V33" s="9" t="inlineStr">
        <is>
          <t>ADR-500; ADR-600</t>
        </is>
      </c>
    </row>
    <row r="34">
      <c r="A34" s="9" t="n">
        <v>32</v>
      </c>
      <c r="B34" s="23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Backend (Triage, ответчики); Document Generator; Сервис работы с обращениями</t>
        </is>
      </c>
      <c r="E34" s="9" t="inlineStr">
        <is>
          <t>Справочники и тексты в коде и данных; не технология</t>
        </is>
      </c>
      <c r="F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4" s="9" t="inlineStr">
        <is>
          <t>Календарный срок определяет владелец, не команда.</t>
        </is>
      </c>
      <c r="J34" s="9" t="inlineStr">
        <is>
          <t>Внедрение полученных ответов в справочники и тексты.</t>
        </is>
      </c>
      <c r="K34" s="9" t="inlineStr">
        <is>
          <t>—</t>
        </is>
      </c>
      <c r="L34" s="9" t="inlineStr">
        <is>
          <t>Разработки не требуют — требуют ответа от водоканала.</t>
        </is>
      </c>
      <c r="M34" s="17" t="n">
        <v>4</v>
      </c>
      <c r="N34" s="17" t="n">
        <v>8</v>
      </c>
      <c r="O34" s="18" t="inlineStr">
        <is>
          <t>Из блока ADR-600: Согласования</t>
        </is>
      </c>
      <c r="P34" s="14" t="inlineStr">
        <is>
          <t>Без изменений</t>
        </is>
      </c>
      <c r="Q34" s="15" t="n"/>
      <c r="R34" s="15" t="n"/>
      <c r="S34" s="16" t="n"/>
      <c r="T34" s="16" t="n"/>
      <c r="U34" s="15" t="n"/>
      <c r="V34" s="9" t="inlineStr">
        <is>
          <t>ADR-600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Все (сквозная работа)</t>
        </is>
      </c>
      <c r="E35" s="9" t="inlineStr">
        <is>
          <t>Документы и диаграммы пакета сдачи</t>
        </is>
      </c>
      <c r="F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5" s="9" t="inlineStr">
        <is>
          <t>Не применимо: это работа, а не выбор технологии.</t>
        </is>
      </c>
      <c r="H35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5" s="9" t="inlineStr">
        <is>
          <t>Календарный срок определяет служба ИБ водоканала.</t>
        </is>
      </c>
      <c r="J35" s="9" t="inlineStr">
        <is>
          <t>Полная сверка диаграмм с кодом, нагрузочные и security-сценарии, резюме для CTO.</t>
        </is>
      </c>
      <c r="K35" s="9" t="inlineStr">
        <is>
          <t>—</t>
        </is>
      </c>
      <c r="L35" s="9" t="inlineStr">
        <is>
          <t>Условие перехода к Этапу 2 — согласование ИБ (ADR-100/600).</t>
        </is>
      </c>
      <c r="M35" s="17" t="n">
        <v>5</v>
      </c>
      <c r="N35" s="25" t="n">
        <v>7.5</v>
      </c>
      <c r="O35" s="18" t="inlineStr">
        <is>
          <t>Из блока ADR-600: Документация и ИБ</t>
        </is>
      </c>
      <c r="P35" s="9" t="inlineStr">
        <is>
          <t>Согласование перечня триггеров self-hosted-перехода с ИБ.</t>
        </is>
      </c>
      <c r="Q35" s="9" t="inlineStr">
        <is>
          <t>—</t>
        </is>
      </c>
      <c r="R35" s="9" t="inlineStr">
        <is>
          <t>Триггеры должны быть согласованы до срабатывания, а не после.</t>
        </is>
      </c>
      <c r="S35" s="19" t="n"/>
      <c r="T35" s="19" t="n"/>
      <c r="U35" s="9" t="n"/>
      <c r="V35" s="9" t="inlineStr">
        <is>
          <t>ADR-400;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GPU-узел в кластере владельца (решение после проверки на реальных данных)</t>
        </is>
      </c>
      <c r="D36" s="9" t="inlineStr">
        <is>
          <t>Kubernetes-кластер владельца (новый GPU-узел); embedding-inference; reranker-inference; ETL индексации</t>
        </is>
      </c>
      <c r="E36" s="9" t="inlineStr">
        <is>
          <t>Kubernetes: плагин устройств GPU, метки узлов и taints; драйвер видеокарты</t>
        </is>
      </c>
      <c r="F36" s="9" t="inlineStr">
        <is>
          <t>В кластере, где работает личный кабинет и где размещается наш контур, GPU-узлов нет (решение заказчика проекта, 24.09.2026). Без них MVP на CPU: эмбеддинги e5-small (36–37 мс на запрос), реранкер выключен, индексация считает эмбеддинги на CPU.</t>
        </is>
      </c>
      <c r="G36" s="9" t="inlineStr">
        <is>
          <t>Без GPU: BGE-M3 (300 мс) и реранкер (7,2 с на 20 кандидатах) не укладываются в бюджет 100 мс на CPU. С GPU-узлом: возможны BGE-M3, реранкер, позже собственная модель. Владелец примет решение о GPU-узле только после проверки на реальных данных (24.09.2026): тест моделей идёт на CPU, скорость на GPU — коротким замером на временной видеокарте (ADR-200, «Почему Kubernetes», ADR-600).</t>
        </is>
      </c>
      <c r="H36" s="9" t="inlineStr">
        <is>
          <t>ADR-200, подраздел «Почему Kubernetes, а не другая оркестрация» (пункт «GPU»); ADR-300, раздел 2; ADR-600, «GPU-узел в кластере владельца — решение после проверки на реальных данных»</t>
        </is>
      </c>
      <c r="I36" s="9" t="inlineStr">
        <is>
          <t>Цена и сроки закупки сервера не оценены; скорость моделей на GPU не измерялась; отдел владельца GPU не эксплуатировал.</t>
        </is>
      </c>
      <c r="J36" s="9" t="inlineStr">
        <is>
          <t>Решение — после проверки на реальных данных. Порядок: (1) качество всех кандидатов, включая BGE-M3 и реранкеры, на размеченных живых обращениях офлайн на CPU; (2) короткий замер скорости на временной видеокарте на синтетических текстах (1–2 чел-дн, оценка автора, в итог не входит; где взять карту, не определено); (3) свод; (4) решение владельца. Критерий-предложение автора, не расчёт: покупать, если лучшая GPU-конфигурация даёт выигрыш не менее 5 п.п. по hit@3 (или MRR) над лучшей CPU-моделью и укладывается в 100 мс. Если решение — покупать: закупка сервера и подключение к общему кластеру (драйверы, плагин устройств, метки и запреты размещения, квоты, согласование с отделом) — 3–5 чел-дн без закупки.</t>
        </is>
      </c>
      <c r="K36" s="9" t="inlineStr">
        <is>
          <t>Kubernetes: плагин устройств GPU, метки узлов и taints; драйвер видеокарты.</t>
        </is>
      </c>
      <c r="L36" s="9" t="inlineStr">
        <is>
          <t>Тест BGE-M3 и реранкеров остаётся в плане при любом исходе: он и даёт основание для решения. Строка отражает работы на случай покупки и в итог сметы не входит.</t>
        </is>
      </c>
      <c r="M36" s="12" t="n">
        <v>3</v>
      </c>
      <c r="N36" s="12" t="n">
        <v>5</v>
      </c>
      <c r="O36" s="13" t="inlineStr">
        <is>
          <t>По триггеру (решение владельца после проверки на реальных данных; оценка автора)</t>
        </is>
      </c>
      <c r="P36" s="14" t="inlineStr">
        <is>
          <t>Без изменений</t>
        </is>
      </c>
      <c r="Q36" s="15" t="n"/>
      <c r="R36" s="15" t="n"/>
      <c r="S36" s="16" t="n"/>
      <c r="T36" s="16" t="n"/>
      <c r="U36" s="15" t="n"/>
      <c r="V36" s="9" t="inlineStr">
        <is>
          <t>ADR-200; ADR-300; ADR-500; ADR-600</t>
        </is>
      </c>
    </row>
    <row r="37">
      <c r="A37" s="9" t="n">
        <v>35</v>
      </c>
      <c r="B37" s="23" t="inlineStr">
        <is>
          <t>Сквозная работа</t>
        </is>
      </c>
      <c r="C37" s="11" t="inlineStr">
        <is>
          <t>Выбор семейства собственной модели и закупка GPU</t>
        </is>
      </c>
      <c r="D37" s="9" t="inlineStr">
        <is>
          <t>LLM Provider (собственная модель, тираж); LLM Gateway; GPU-пул</t>
        </is>
      </c>
      <c r="E37" s="9" t="inlineStr">
        <is>
          <t>Qwen2.5-32B INT4; vLLM; 1× GPU A100 80 ГБ</t>
        </is>
      </c>
      <c r="F37" s="9" t="inlineStr">
        <is>
          <t>Выбор Qwen2.5 сделан по репутации, на эталонном наборе не проверен.</t>
        </is>
      </c>
      <c r="G37" s="9" t="inlineStr">
        <is>
          <t>Qwen2.5 (Apache 2.0, сильный русский, 7B→32B без переделки) против Llama 3.x (русский слабее — по репутации; довод «нет варианта под одну карту A100» не подтверждён: 70B в INT4 тоже поместилась бы на 80 ГБ) и открытых весов GigaChat (менее зрелый инструментарий — по общим сведениям, не проверялось).</t>
        </is>
      </c>
      <c r="H37" s="9" t="inlineStr">
        <is>
          <t>ADR-300, раздел 4, подраздел «Сравнение семейства self-hosted-модели тиража»; стоимость — ADR-500</t>
        </is>
      </c>
      <c r="I37" s="9" t="inlineStr">
        <is>
          <t>Закупка оборудования — недели или месяцы, это снабжение, не разработка.</t>
        </is>
      </c>
      <c r="J37" s="14" t="inlineStr">
        <is>
          <t>Без изменений</t>
        </is>
      </c>
      <c r="K37" s="15" t="n"/>
      <c r="L37" s="15" t="n"/>
      <c r="M37" s="16" t="n"/>
      <c r="N37" s="16" t="n"/>
      <c r="O37" s="15" t="n"/>
      <c r="P37" s="9" t="inlineStr">
        <is>
          <t>Сравнение семейств на эталонном наборе; закупка и ввод GPU-сервера 1× A100 80 ГБ.</t>
        </is>
      </c>
      <c r="Q37" s="9" t="inlineStr">
        <is>
          <t>Qwen2.5-32B INT4, vLLM.</t>
        </is>
      </c>
      <c r="R37" s="9" t="inlineStr">
        <is>
          <t>Аренда исключена не по цене, а по триггеру: облачный GPU считается внешним сервисом.</t>
        </is>
      </c>
      <c r="S37" s="20" t="n">
        <v>3</v>
      </c>
      <c r="T37" s="20" t="n">
        <v>5</v>
      </c>
      <c r="U37" s="21" t="inlineStr">
        <is>
          <t>ADR-600</t>
        </is>
      </c>
      <c r="V37" s="9" t="inlineStr">
        <is>
          <t>ADR-300; ADR-500; ADR-600</t>
        </is>
      </c>
    </row>
    <row r="38">
      <c r="A38" s="9" t="n">
        <v>36</v>
      </c>
      <c r="B38" s="23" t="inlineStr">
        <is>
          <t>Сквозная работа</t>
        </is>
      </c>
      <c r="C38" s="11" t="inlineStr">
        <is>
          <t>Анализ всех типов обращений на живых данных и повторный выбор моделей</t>
        </is>
      </c>
      <c r="D38" s="9" t="inlineStr">
        <is>
          <t>Backend (Triage, ответчики); embedding-inference; reranker-inference; Qdrant (переиндексация при смене модели); LLM Gateway (пороги)</t>
        </is>
      </c>
      <c r="E38" s="9" t="inlineStr">
        <is>
          <t>Скрипты замера (`scripts/`), `golden_set/`, PII Filter; результат — Inquiry_Types.xlsx</t>
        </is>
      </c>
      <c r="F38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8" s="9" t="inlineStr">
        <is>
          <t>Не применимо: это работа, а не выбор технологии; сравнение моделей входит в её состав.</t>
        </is>
      </c>
      <c r="H38" s="9" t="inlineStr">
        <is>
          <t>ADR-300, разделы 1–2 (решение); ADR-600, раздел «Анализ типов обращений на живых данных»</t>
        </is>
      </c>
      <c r="I38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8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 Для каждой реплики размечается число задач и считается доля реплик с двумя и более — триггер 4 перехода агента на LangGraph (выше 5%, ADR-200); в пределах оценки.</t>
        </is>
      </c>
      <c r="K38" s="9" t="inlineStr">
        <is>
          <t>Скрипты замера (`scripts/measure_classifier.py`, `measure_search_models.py`), `golden_set/`, PII Filter; результат — обновлённый `Inquiry_Types.xlsx`.</t>
        </is>
      </c>
      <c r="L38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8" s="17" t="n">
        <v>13</v>
      </c>
      <c r="N38" s="17" t="n">
        <v>19</v>
      </c>
      <c r="O38" s="18" t="inlineStr">
        <is>
          <t>Из блока ADR-600: Анализ типов на живых данных</t>
        </is>
      </c>
      <c r="P38" s="9" t="inlineStr">
        <is>
          <t>Повторное решение по моделям для тиража по живой статистике MVP.</t>
        </is>
      </c>
      <c r="Q38" s="9" t="inlineStr">
        <is>
          <t>Те же скрипты замера; при смене модели — переиндексация и пересчёт порогов k-NN.</t>
        </is>
      </c>
      <c r="R38" s="9" t="inlineStr">
        <is>
          <t>Проверить, что модель MVP годится при нагрузке тиража; при необходимости пересчитать пороги и sizing.</t>
        </is>
      </c>
      <c r="S38" s="20" t="n">
        <v>2</v>
      </c>
      <c r="T38" s="20" t="n">
        <v>3</v>
      </c>
      <c r="U38" s="21" t="inlineStr">
        <is>
          <t>ADR-600</t>
        </is>
      </c>
      <c r="V38" s="9" t="inlineStr">
        <is>
          <t>ADR-300; ADR-600; Inquiry_Types.xlsx</t>
        </is>
      </c>
    </row>
    <row r="39">
      <c r="A39" s="9" t="n">
        <v>37</v>
      </c>
      <c r="B39" s="23" t="inlineStr">
        <is>
          <t>Сквозная работа</t>
        </is>
      </c>
      <c r="C39" s="11" t="inlineStr">
        <is>
          <t>Несколько задач в одной реплике (доработка после прототипа)</t>
        </is>
      </c>
      <c r="D39" s="9" t="inlineStr">
        <is>
          <t>Backend (оркестратор, детектор намерений); LLM Gateway (охранитель, правило в промпте); Session State Store; виджет (кнопки нескольких обращений)</t>
        </is>
      </c>
      <c r="E39" s="9" t="inlineStr">
        <is>
          <t>Python; `app/agents/intents.py` (правила на регулярных выражениях); `Orchestrator._stream_parts`; `unperformed_action` в `app/gateway/guardrails.py`; метрика `assistant_multi_intent_total`</t>
        </is>
      </c>
      <c r="F39" s="9" t="inlineStr">
        <is>
          <t>На прототипе реализовано: детектор намерений разбирает реплику на задачи правилами (`app/agents/intents.py`), оркестратор отвечает по каждой части, операции без выполнения получают прямой отказ, условие «если долга нет» проверяется по Биллингу; ложное «сделал» блокируется правилом в промпте и в охранителе (`unperformed_action`). Тесты: 22 + 16 + 8. Измерение на выгрузке обращений (`scripts/measure_intents.py`): несколько задач в 1 из 136 текстов (0,7%) — срабатывание детектора, не разметка людьми.</t>
        </is>
      </c>
      <c r="G39" s="9" t="inlineStr">
        <is>
          <t>Правила, а не модель: модель на каждой реплике стоила бы времени и токенов, а её разбиение нечем проверить. LangGraph реплику на задачи не разбирает — детектор нужен в любом случае (ADR-200, «Как реализовано: несколько задач в одной реплике»).</t>
        </is>
      </c>
      <c r="H39" s="9" t="inlineStr">
        <is>
          <t>ADR-200, подраздел «Как реализовано: несколько задач в одной реплике» (в разделе «Оркестрация агента»); ADR-100, раздел «Несколько задач в одной реплике»; ADR-400</t>
        </is>
      </c>
      <c r="I39" s="9" t="inlineStr">
        <is>
          <t>Предел 300 знаков, перечни глаголов и операций подобраны автором на 136 обращениях регистра, не на репликах чата; точность и полнота на размеченных репликах не измерены. Регистрация только по первой части, из условий проверяется лишь долг, путь `generate` не разбирается, второй бланк перезапишет первый.</t>
        </is>
      </c>
      <c r="J39" s="9" t="inlineStr">
        <is>
          <t>Проверка детектора на размеченных репликах чата (точность, полнота, подбор предела и перечней); регистрация нескольких обращений из одной реплики (несколько черновиков, подтверждение каждого, виджет); условия помимо долга; путь `generate`, лимиты и порядок частей.</t>
        </is>
      </c>
      <c r="K39" s="9" t="inlineStr">
        <is>
          <t>Python; правила на регулярных выражениях; метрика `assistant_multi_intent_total`; состояние диалога в Redis.</t>
        </is>
      </c>
      <c r="L39" s="9" t="inlineStr">
        <is>
          <t>Без этого вторая задача реплики теряется, а модель может написать, что выполнила операцию; доля многозадачных реплик по разметке людьми — условие перехода на LangGraph (триггер 4).</t>
        </is>
      </c>
      <c r="M39" s="17" t="n">
        <v>9</v>
      </c>
      <c r="N39" s="17" t="n">
        <v>14</v>
      </c>
      <c r="O39" s="18" t="inlineStr">
        <is>
          <t>Из блока ADR-600: Несколько задач в одной реплике (доработка после прототипа)</t>
        </is>
      </c>
      <c r="P39" s="14" t="inlineStr">
        <is>
          <t>Без изменений</t>
        </is>
      </c>
      <c r="Q39" s="15" t="n"/>
      <c r="R39" s="15" t="n"/>
      <c r="S39" s="16" t="n"/>
      <c r="T39" s="16" t="n"/>
      <c r="U39" s="15" t="n"/>
      <c r="V39" s="9" t="inlineStr">
        <is>
          <t>ADR-100; ADR-200; ADR-400; ADR-600</t>
        </is>
      </c>
    </row>
    <row r="40">
      <c r="A40" s="9" t="n">
        <v>38</v>
      </c>
      <c r="B40" s="23" t="inlineStr">
        <is>
          <t>Сквозная работа</t>
        </is>
      </c>
      <c r="C40" s="11" t="inlineStr">
        <is>
          <t>Проверка на живых данных: Guardrails и выбор провайдера (YandexGPT, GigaChat)</t>
        </is>
      </c>
      <c r="D40" s="9" t="inlineStr">
        <is>
          <t>LLM Gateway; Guardrails; LLM Provider (YandexGPT, GigaChat); Backend; PII Filter</t>
        </is>
      </c>
      <c r="E40" s="9" t="inlineStr">
        <is>
          <t>Скрипты замера (`scripts/`), судья качества, метрики Prometheus, LiteLLM Router (цепочки переключения), PII Filter</t>
        </is>
      </c>
      <c r="F40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40" s="9" t="inlineStr">
        <is>
          <t>Не применимо: это работа, а не выбор технологии; сравнение YandexGPT и GigaChat на живых данных — её содержание.</t>
        </is>
      </c>
      <c r="H40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40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40" s="9" t="inlineStr">
        <is>
          <t>1) Проверка работоспособности Guardrails на ограниченном объёме живых вопросов (порядка 100–200):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40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40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 Сюда же входит оптимизация синхронной проверки: проверять новый кусок с перекрытием, а не весь накопленный текст, и замер на ответах 500–3 000 знаков (1–2 чел-дн).</t>
        </is>
      </c>
      <c r="M40" s="17" t="n">
        <v>11</v>
      </c>
      <c r="N40" s="17" t="n">
        <v>18</v>
      </c>
      <c r="O40" s="18" t="inlineStr">
        <is>
          <t>Из блока ADR-600: Проверка Guardrails и провайдеров на живых данных</t>
        </is>
      </c>
      <c r="P40" s="14" t="inlineStr">
        <is>
          <t>Без изменений</t>
        </is>
      </c>
      <c r="Q40" s="15" t="n"/>
      <c r="R40" s="15" t="n"/>
      <c r="S40" s="16" t="n"/>
      <c r="T40" s="16" t="n"/>
      <c r="U40" s="15" t="n"/>
      <c r="V40" s="9" t="inlineStr">
        <is>
          <t>ADR-300; ADR-400; ADR-600</t>
        </is>
      </c>
    </row>
    <row r="42">
      <c r="C42" s="26" t="inlineStr">
        <is>
          <t>Цвет ячеек с оценкой:</t>
        </is>
      </c>
    </row>
    <row r="43">
      <c r="C43" s="27" t="n"/>
      <c r="D43" s="28" t="inlineStr">
        <is>
          <t>цифра прямо из ADR-600</t>
        </is>
      </c>
    </row>
    <row r="44">
      <c r="C44" s="29" t="n"/>
      <c r="D44" s="28" t="inlineStr">
        <is>
          <t>цифра блока ADR-600 (или его доля, распределённая автором) — подтвердить</t>
        </is>
      </c>
    </row>
    <row r="45">
      <c r="C45" s="30" t="n"/>
      <c r="D45" s="28" t="inlineStr">
        <is>
          <t>в ADR-600 нет, оценка автора — подтвердить</t>
        </is>
      </c>
    </row>
    <row r="46">
      <c r="C46" s="31" t="n"/>
      <c r="D46" s="28" t="inlineStr">
        <is>
          <t>изменений на этом этапе нет</t>
        </is>
      </c>
    </row>
  </sheetData>
  <autoFilter ref="A2:V40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3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2" t="inlineStr">
        <is>
          <t>Стоимость доработок по контурам</t>
        </is>
      </c>
    </row>
    <row r="2">
      <c r="A2" s="33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  <c r="L4" s="5" t="inlineStr">
        <is>
          <t>По триггеру, не в итоге (мин)</t>
        </is>
      </c>
      <c r="M4" s="5" t="inlineStr">
        <is>
          <t>По триггеру, не в итоге (макс)</t>
        </is>
      </c>
    </row>
    <row r="5">
      <c r="A5" s="11" t="inlineStr">
        <is>
          <t>MVP — 8 000 абонентов</t>
        </is>
      </c>
      <c r="B5" s="34">
        <f>SUM('Матрица'!$M$3:$M$40)-SUMIF('Матрица'!$O$3:$O$40,"По триггеру*",'Матрица'!$M$3:$M$40)</f>
        <v/>
      </c>
      <c r="C5" s="34">
        <f>SUM('Матрица'!$N$3:$N$40)-SUMIF('Матрица'!$O$3:$O$40,"По триггеру*",'Матрица'!$N$3:$N$40)</f>
        <v/>
      </c>
      <c r="D5" s="34">
        <f>B5/5</f>
        <v/>
      </c>
      <c r="E5" s="34">
        <f>C5/5</f>
        <v/>
      </c>
      <c r="F5" s="35">
        <f>SUMIF('Матрица'!$O$3:$O$40,"ADR-600",'Матрица'!$M$3:$M$40)</f>
        <v/>
      </c>
      <c r="G5" s="35">
        <f>SUMIF('Матрица'!$O$3:$O$40,"ADR-600",'Матрица'!$N$3:$N$40)</f>
        <v/>
      </c>
      <c r="H5" s="36">
        <f>SUMIF('Матрица'!$O$3:$O$40,"Из блока*",'Матрица'!$M$3:$M$40)</f>
        <v/>
      </c>
      <c r="I5" s="36">
        <f>SUMIF('Матрица'!$O$3:$O$40,"Из блока*",'Матрица'!$N$3:$N$40)</f>
        <v/>
      </c>
      <c r="J5" s="37">
        <f>SUMIF('Матрица'!$O$3:$O$40,"Оценка автора",'Матрица'!$M$3:$M$40)</f>
        <v/>
      </c>
      <c r="K5" s="37">
        <f>SUMIF('Матрица'!$O$3:$O$40,"Оценка автора",'Матрица'!$N$3:$N$40)</f>
        <v/>
      </c>
      <c r="L5" s="34">
        <f>SUMIF('Матрица'!$O$3:$O$40,"По триггеру*",'Матрица'!$M$3:$M$40)</f>
        <v/>
      </c>
      <c r="M5" s="34">
        <f>SUMIF('Матрица'!$O$3:$O$40,"По триггеру*",'Матрица'!$N$3:$N$40)</f>
        <v/>
      </c>
    </row>
    <row r="6">
      <c r="A6" s="11" t="inlineStr">
        <is>
          <t>Тираж — 90 000 абонентов</t>
        </is>
      </c>
      <c r="B6" s="34">
        <f>SUM('Матрица'!$S$3:$S$40)-SUMIF('Матрица'!$U$3:$U$40,"По триггеру*",'Матрица'!$S$3:$S$40)</f>
        <v/>
      </c>
      <c r="C6" s="34">
        <f>SUM('Матрица'!$T$3:$T$40)-SUMIF('Матрица'!$U$3:$U$40,"По триггеру*",'Матрица'!$T$3:$T$40)</f>
        <v/>
      </c>
      <c r="D6" s="34">
        <f>B6/5</f>
        <v/>
      </c>
      <c r="E6" s="34">
        <f>C6/5</f>
        <v/>
      </c>
      <c r="F6" s="35">
        <f>SUMIF('Матрица'!$U$3:$U$40,"ADR-600",'Матрица'!$S$3:$S$40)</f>
        <v/>
      </c>
      <c r="G6" s="35">
        <f>SUMIF('Матрица'!$U$3:$U$40,"ADR-600",'Матрица'!$T$3:$T$40)</f>
        <v/>
      </c>
      <c r="H6" s="36">
        <f>SUMIF('Матрица'!$U$3:$U$40,"Из блока*",'Матрица'!$S$3:$S$40)</f>
        <v/>
      </c>
      <c r="I6" s="36">
        <f>SUMIF('Матрица'!$U$3:$U$40,"Из блока*",'Матрица'!$T$3:$T$40)</f>
        <v/>
      </c>
      <c r="J6" s="37">
        <f>SUMIF('Матрица'!$U$3:$U$40,"Оценка автора",'Матрица'!$S$3:$S$40)</f>
        <v/>
      </c>
      <c r="K6" s="37">
        <f>SUMIF('Матрица'!$U$3:$U$40,"Оценка автора",'Матрица'!$T$3:$T$40)</f>
        <v/>
      </c>
      <c r="L6" s="34">
        <f>SUMIF('Матрица'!$U$3:$U$40,"По триггеру*",'Матрица'!$S$3:$S$40)</f>
        <v/>
      </c>
      <c r="M6" s="34">
        <f>SUMIF('Матрица'!$U$3:$U$40,"По триггеру*",'Матрица'!$T$3:$T$40)</f>
        <v/>
      </c>
    </row>
    <row r="7">
      <c r="A7" s="11" t="inlineStr">
        <is>
          <t>Итого</t>
        </is>
      </c>
      <c r="B7" s="38">
        <f>SUM(B5:B6)</f>
        <v/>
      </c>
      <c r="C7" s="38">
        <f>SUM(C5:C6)</f>
        <v/>
      </c>
      <c r="D7" s="38">
        <f>SUM(D5:D6)</f>
        <v/>
      </c>
      <c r="E7" s="38">
        <f>SUM(E5:E6)</f>
        <v/>
      </c>
      <c r="F7" s="38">
        <f>SUM(F5:F6)</f>
        <v/>
      </c>
      <c r="G7" s="38">
        <f>SUM(G5:G6)</f>
        <v/>
      </c>
      <c r="H7" s="38">
        <f>SUM(H5:H6)</f>
        <v/>
      </c>
      <c r="I7" s="38">
        <f>SUM(I5:I6)</f>
        <v/>
      </c>
      <c r="J7" s="38">
        <f>SUM(J5:J6)</f>
        <v/>
      </c>
      <c r="K7" s="38">
        <f>SUM(K5:K6)</f>
        <v/>
      </c>
      <c r="L7" s="38">
        <f>SUM(L5:L6)</f>
        <v/>
      </c>
      <c r="M7" s="38">
        <f>SUM(M5:M6)</f>
        <v/>
      </c>
    </row>
    <row r="8">
      <c r="A8" s="33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 Столбцы «По триггеру» — работы, которые появятся только при наступлении триггера (переход агента на LangGraph); в итог не входят.</t>
        </is>
      </c>
    </row>
    <row r="9">
      <c r="A9" s="11" t="inlineStr">
        <is>
          <t>Ставка, ₽ за чел-день (не задана — введите)</t>
        </is>
      </c>
      <c r="B9" s="39" t="n"/>
      <c r="C9" s="40" t="n"/>
      <c r="D9" s="41" t="n"/>
    </row>
    <row r="10">
      <c r="A10" s="9" t="inlineStr">
        <is>
          <t>Стоимость доработок MVP, ₽ (мин — макс)</t>
        </is>
      </c>
      <c r="B10" s="39" t="n"/>
      <c r="C10" s="40" t="n"/>
      <c r="D10" s="42">
        <f>IF($D$9="","",B5*$D$9)</f>
        <v/>
      </c>
      <c r="E10" s="42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9" t="n"/>
      <c r="C11" s="40" t="n"/>
      <c r="D11" s="42">
        <f>IF($D$9="","",B6*$D$9)</f>
        <v/>
      </c>
      <c r="E11" s="42">
        <f>IF($D$9="","",C6*$D$9)</f>
        <v/>
      </c>
    </row>
    <row r="13">
      <c r="A13" s="43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4" t="n">
        <v>11.5</v>
      </c>
      <c r="C15" s="34" t="n">
        <v>17</v>
      </c>
      <c r="D15" s="34">
        <f>SUMIF('Матрица'!$O$3:$O$40,"Из блока ADR-600: P0",'Матрица'!$M$3:$M$40)</f>
        <v/>
      </c>
      <c r="E15" s="34">
        <f>SUMIF('Матрица'!$O$3:$O$40,"Из блока ADR-600: P0",'Матрица'!$N$3:$N$40)</f>
        <v/>
      </c>
      <c r="F15" s="44">
        <f>IF(AND(D15=B15,E15=C15),"да","НЕТ")</f>
        <v/>
      </c>
      <c r="G15" s="9" t="inlineStr">
        <is>
          <t>≈2,5–3,5 недели: смета 1–2 дня, NFR 2–3 дня, допущения нагрузки 1 неделя, пересчёт по данным 3–5 + по пилоту 1–2 чел-дн</t>
        </is>
      </c>
    </row>
    <row r="16">
      <c r="A16" s="11" t="inlineStr">
        <is>
          <t>Согласования</t>
        </is>
      </c>
      <c r="B16" s="34" t="n">
        <v>4</v>
      </c>
      <c r="C16" s="34" t="n">
        <v>8</v>
      </c>
      <c r="D16" s="34">
        <f>SUMIF('Матрица'!$O$3:$O$40,"Из блока ADR-600: Согласования",'Матрица'!$M$3:$M$40)</f>
        <v/>
      </c>
      <c r="E16" s="34">
        <f>SUMIF('Матрица'!$O$3:$O$40,"Из блока ADR-600: Согласования",'Матрица'!$N$3:$N$40)</f>
        <v/>
      </c>
      <c r="F16" s="44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4" t="n">
        <v>35</v>
      </c>
      <c r="C17" s="34" t="n">
        <v>51</v>
      </c>
      <c r="D17" s="34">
        <f>SUMIF('Матрица'!$O$3:$O$40,"Из блока ADR-600: Качество поиска и классификации",'Матрица'!$M$3:$M$40)</f>
        <v/>
      </c>
      <c r="E17" s="34">
        <f>SUMIF('Матрица'!$O$3:$O$40,"Из блока ADR-600: Качество поиска и классификации",'Матрица'!$N$3:$N$40)</f>
        <v/>
      </c>
      <c r="F17" s="44">
        <f>IF(AND(D17=B17,E17=C17),"да","НЕТ")</f>
        <v/>
      </c>
      <c r="G17" s="9" t="inlineStr">
        <is>
          <t>≈7–10 недель: классификатор 8–12 + эмбеддинги 10–14 + реранкер 7–10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4" t="n">
        <v>20</v>
      </c>
      <c r="C18" s="34" t="n">
        <v>30</v>
      </c>
      <c r="D18" s="34">
        <f>SUMIF('Матрица'!$O$3:$O$40,"Из блока ADR-600: Основная разработка Этапа 2",'Матрица'!$M$3:$M$40)</f>
        <v/>
      </c>
      <c r="E18" s="34">
        <f>SUMIF('Матрица'!$O$3:$O$40,"Из блока ADR-600: Основная разработка Этапа 2",'Матрица'!$N$3:$N$40)</f>
        <v/>
      </c>
      <c r="F18" s="44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4" t="n">
        <v>5</v>
      </c>
      <c r="C19" s="34" t="n">
        <v>7.5</v>
      </c>
      <c r="D19" s="34">
        <f>SUMIF('Матрица'!$O$3:$O$40,"Из блока ADR-600: Документация и ИБ",'Матрица'!$M$3:$M$40)</f>
        <v/>
      </c>
      <c r="E19" s="34">
        <f>SUMIF('Матрица'!$O$3:$O$40,"Из блока ADR-600: Документация и ИБ",'Матрица'!$N$3:$N$40)</f>
        <v/>
      </c>
      <c r="F19" s="44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4" t="n">
        <v>13</v>
      </c>
      <c r="C20" s="34" t="n">
        <v>19</v>
      </c>
      <c r="D20" s="34">
        <f>SUMIF('Матрица'!$O$3:$O$40,"Из блока ADR-600: Анализ типов на живых данных",'Матрица'!$M$3:$M$40)</f>
        <v/>
      </c>
      <c r="E20" s="34">
        <f>SUMIF('Матрица'!$O$3:$O$40,"Из блока ADR-600: Анализ типов на живых данных",'Матрица'!$N$3:$N$40)</f>
        <v/>
      </c>
      <c r="F20" s="44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Несколько задач в одной реплике (доработка после прототипа)</t>
        </is>
      </c>
      <c r="B21" s="34" t="n">
        <v>9</v>
      </c>
      <c r="C21" s="34" t="n">
        <v>14</v>
      </c>
      <c r="D21" s="34">
        <f>SUMIF('Матрица'!$O$3:$O$40,"Из блока ADR-600: Несколько задач в одной реплике (доработка после прототипа)",'Матрица'!$M$3:$M$40)</f>
        <v/>
      </c>
      <c r="E21" s="34">
        <f>SUMIF('Матрица'!$O$3:$O$40,"Из блока ADR-600: Несколько задач в одной реплике (доработка после прототипа)",'Матрица'!$N$3:$N$40)</f>
        <v/>
      </c>
      <c r="F21" s="44">
        <f>IF(AND(D21=B21,E21=C21),"да","НЕТ")</f>
        <v/>
      </c>
      <c r="G21" s="9" t="inlineStr">
        <is>
          <t>9–14 чел-дн (ADR-600): проверка детектора на репликах чата 3–4, несколько обращений из одной реплики 3–5, условия помимо долга 2–3, путь generate и лимиты 1–2</t>
        </is>
      </c>
    </row>
    <row r="22">
      <c r="A22" s="11" t="inlineStr">
        <is>
          <t>Проверка Guardrails и провайдеров на живых данных</t>
        </is>
      </c>
      <c r="B22" s="34" t="n">
        <v>11</v>
      </c>
      <c r="C22" s="34" t="n">
        <v>18</v>
      </c>
      <c r="D22" s="34">
        <f>SUMIF('Матрица'!$O$3:$O$40,"Из блока ADR-600: Проверка Guardrails и провайдеров на живых данных",'Матрица'!$M$3:$M$40)</f>
        <v/>
      </c>
      <c r="E22" s="34">
        <f>SUMIF('Матрица'!$O$3:$O$40,"Из блока ADR-600: Проверка Guardrails и провайдеров на живых данных",'Матрица'!$N$3:$N$40)</f>
        <v/>
      </c>
      <c r="F22" s="44">
        <f>IF(AND(D22=B22,E22=C22),"да","НЕТ")</f>
        <v/>
      </c>
      <c r="G22" s="9" t="inlineStr">
        <is>
          <t>11–18 чел-дн (ADR-600): выборка 1–2, Guardrails 4–6, оптимизация синхронной проверки 1–2, сравнение провайдеров 4–6, решение 1–2</t>
        </is>
      </c>
    </row>
    <row r="23">
      <c r="A23" s="11" t="inlineStr">
        <is>
          <t>Итого по блокам</t>
        </is>
      </c>
      <c r="B23" s="38">
        <f>SUM(B15:B22)</f>
        <v/>
      </c>
      <c r="C23" s="38">
        <f>SUM(C15:C22)</f>
        <v/>
      </c>
      <c r="D23" s="38">
        <f>SUM(D15:D22)</f>
        <v/>
      </c>
      <c r="E23" s="38">
        <f>SUM(E15:E22)</f>
        <v/>
      </c>
      <c r="F23" s="45">
        <f>IF(AND(D23=B23,E23=C23),"да","НЕТ")</f>
        <v/>
      </c>
      <c r="G23" s="9" t="inlineStr">
        <is>
          <t>ADR-600 называет итог ≈22–33 недели (≈110–165 чел-дн); сумма блоков 108,5–164,5 — округление в самом ADR-600</t>
        </is>
      </c>
    </row>
    <row r="25">
      <c r="A25" s="43" t="inlineStr">
        <is>
          <t>Затраты, которые не выражаются человеко-днями</t>
        </is>
      </c>
    </row>
    <row r="26">
      <c r="A26" s="5" t="inlineStr">
        <is>
          <t>Контур</t>
        </is>
      </c>
      <c r="B26" s="5" t="inlineStr">
        <is>
          <t>Статья</t>
        </is>
      </c>
      <c r="C26" s="5" t="inlineStr">
        <is>
          <t>Значение / комментарий</t>
        </is>
      </c>
      <c r="D26" s="5" t="inlineStr">
        <is>
          <t>От</t>
        </is>
      </c>
      <c r="E26" s="5" t="inlineStr">
        <is>
          <t>До</t>
        </is>
      </c>
      <c r="F26" s="5" t="inlineStr">
        <is>
          <t>Единица</t>
        </is>
      </c>
      <c r="G26" s="5" t="inlineStr">
        <is>
          <t>Источник</t>
        </is>
      </c>
    </row>
    <row r="27">
      <c r="A27" s="11" t="inlineStr">
        <is>
          <t>MVP</t>
        </is>
      </c>
      <c r="B27" s="9" t="inlineStr">
        <is>
          <t>Токены генерации (YandexGPT Pro, 0,8 ₽ за 1000 токенов)</t>
        </is>
      </c>
      <c r="C27" s="9" t="inlineStr">
        <is>
          <t>Минимум — 1 234 ₽/мес (7% абонентов в чате, 30% вопросов до модели, 401 токен на запрос, судья раз в неделю); максимум — 101 280 ₽/мес (35%, 70%, 3 500 токенов, судья каждую ночь). Допущения о спросе данными водоканала не подтверждены; разброс ×82</t>
        </is>
      </c>
      <c r="D27" s="42" t="n">
        <v>1234</v>
      </c>
      <c r="E27" s="42" t="n">
        <v>101280</v>
      </c>
      <c r="F27" s="9" t="inlineStr">
        <is>
          <t>₽/мес</t>
        </is>
      </c>
      <c r="G27" s="9" t="inlineStr">
        <is>
          <t>Capacity_Report; лист «Прогноз стоимости»</t>
        </is>
      </c>
    </row>
    <row r="28">
      <c r="A28" s="11" t="inlineStr">
        <is>
          <t>Тираж</t>
        </is>
      </c>
      <c r="B28" s="9" t="inlineStr">
        <is>
          <t>Токены генерации и судьи качества (тариф YandexGPT Pro 0,8 ₽ за 1000 токенов)</t>
        </is>
      </c>
      <c r="C28" s="9" t="inlineStr">
        <is>
          <t>Минимум — 3 305 ₽/мес, максимум — 1,07 млн ₽/мес (0,66 вопроса/с в пике); при собственной модели заменяется CAPEX на карту</t>
        </is>
      </c>
      <c r="D28" s="42" t="n">
        <v>3305</v>
      </c>
      <c r="E28" s="42" t="n">
        <v>1065600</v>
      </c>
      <c r="F28" s="9" t="inlineStr">
        <is>
          <t>₽/мес</t>
        </is>
      </c>
      <c r="G28" s="9" t="inlineStr">
        <is>
          <t>Capacity_Report; лист «Прогноз стоимости»</t>
        </is>
      </c>
    </row>
    <row r="29">
      <c r="A29" s="11" t="inlineStr">
        <is>
          <t>MVP</t>
        </is>
      </c>
      <c r="B29" s="9" t="inlineStr">
        <is>
          <t>GPU-сервер под эмбеддинги и реранкер (только если владелец добавит GPU-узел: в кластере GPU нет)</t>
        </is>
      </c>
      <c r="C29" s="9" t="inlineStr">
        <is>
          <t>Не оценён отдельной строкой сметы; скорость на GPU не измерялась</t>
        </is>
      </c>
      <c r="D29" s="42" t="n"/>
      <c r="E29" s="42" t="n"/>
      <c r="F29" s="9" t="inlineStr">
        <is>
          <t>₽</t>
        </is>
      </c>
      <c r="G29" s="9" t="inlineStr">
        <is>
          <t>ADR-500 (открытый пункт)</t>
        </is>
      </c>
    </row>
    <row r="30">
      <c r="A30" s="11" t="inlineStr">
        <is>
          <t>MVP</t>
        </is>
      </c>
      <c r="B30" s="9" t="inlineStr">
        <is>
          <t>Kubernetes-кластер, хранилища, наблюдаемость (железо, размещение, обслуживание)</t>
        </is>
      </c>
      <c r="C30" s="9" t="inlineStr">
        <is>
          <t>Не оценены</t>
        </is>
      </c>
      <c r="D30" s="42" t="n"/>
      <c r="E30" s="42" t="n"/>
      <c r="F30" s="9" t="inlineStr">
        <is>
          <t>₽</t>
        </is>
      </c>
      <c r="G30" s="9" t="inlineStr">
        <is>
          <t>ADR-500 (открытый пункт)</t>
        </is>
      </c>
    </row>
    <row r="31">
      <c r="A31" s="11" t="inlineStr">
        <is>
          <t>Тираж</t>
        </is>
      </c>
      <c r="B31" s="9" t="inlineStr">
        <is>
          <t>Карта A100 80 ГБ (покупка)</t>
        </is>
      </c>
      <c r="C31" s="9" t="inlineStr">
        <is>
          <t>OEM ≈927 000 ₽; оригинал/сертифицированная ≈2 368 080 ₽ (аренда 35–50 тыс. ₽/мес исключена триггером). Источник цен в проекте не зафиксирован, коммерческих предложений нет — подтвердить</t>
        </is>
      </c>
      <c r="D31" s="42" t="n">
        <v>927000</v>
      </c>
      <c r="E31" s="42" t="n">
        <v>2368080</v>
      </c>
      <c r="F31" s="9" t="inlineStr">
        <is>
          <t>₽</t>
        </is>
      </c>
      <c r="G31" s="9" t="inlineStr">
        <is>
          <t>ADR-500</t>
        </is>
      </c>
    </row>
    <row r="32">
      <c r="A32" s="11" t="inlineStr">
        <is>
          <t>Тираж</t>
        </is>
      </c>
      <c r="B32" s="9" t="inlineStr">
        <is>
          <t>Сервер-хост, электричество, размещение, обслуживание GPU</t>
        </is>
      </c>
      <c r="C32" s="9" t="inlineStr">
        <is>
          <t>Не оценены</t>
        </is>
      </c>
      <c r="D32" s="42" t="n"/>
      <c r="E32" s="42" t="n"/>
      <c r="F32" s="9" t="inlineStr">
        <is>
          <t>₽</t>
        </is>
      </c>
      <c r="G32" s="9" t="inlineStr">
        <is>
          <t>ADR-500 (открытый пункт)</t>
        </is>
      </c>
    </row>
    <row r="34">
      <c r="A34" s="33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2" t="inlineStr">
        <is>
          <t>Источники и допущения</t>
        </is>
      </c>
    </row>
    <row r="3" ht="30" customHeight="1">
      <c r="A3" s="46" t="inlineStr">
        <is>
          <t>•</t>
        </is>
      </c>
      <c r="B3" s="47" t="inlineStr">
        <is>
          <t>Единица стоимости</t>
        </is>
      </c>
      <c r="C3" s="48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6" t="inlineStr">
        <is>
          <t>•</t>
        </is>
      </c>
      <c r="B4" s="47" t="inlineStr">
        <is>
          <t>Что сравнивается</t>
        </is>
      </c>
      <c r="C4" s="48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6" t="inlineStr">
        <is>
          <t>•</t>
        </is>
      </c>
      <c r="B5" s="47" t="inlineStr">
        <is>
          <t>Оценки, которые нужно подтвердить</t>
        </is>
      </c>
      <c r="C5" s="48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6" t="inlineStr">
        <is>
          <t>•</t>
        </is>
      </c>
      <c r="B6" s="47" t="inlineStr">
        <is>
          <t>Тираж: расхождение в ADR-600</t>
        </is>
      </c>
      <c r="C6" s="48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105" customHeight="1">
      <c r="A7" s="46" t="inlineStr">
        <is>
          <t>•</t>
        </is>
      </c>
      <c r="B7" s="47" t="inlineStr">
        <is>
          <t>Нагрузка и деньги</t>
        </is>
      </c>
      <c r="C7" s="48" t="inlineStr">
        <is>
          <t>MVP — 8 000 абонентов; тираж — 90 000. Прогноз токенов и стоимости — минимум и максимум (лист «Прогноз стоимости», `Capacity_Report.html`): учтено, что не все абоненты приходят в чат (7–35%) и только 30–70% вопросов доходит до модели. Цена одна — публичный тариф YandexGPT Pro 0,8 ₽ за 1000 токенов из ADR-500 (не проверялся; тариф GigaChat Pro неизвестен). Цен на серверы и GPU нет. Допущения о спросе данными водоканала не подтверждены; токенов на запрос: измерено 401 (19 вызовов, фрагменты FAQ до 300 знаков), допущение максимума — 3 500. Пересчёт после получения данных — 3–5 чел-дн, по пилоту — 1–2 (блок P0 ADR-600).</t>
        </is>
      </c>
    </row>
    <row r="8" ht="135" customHeight="1">
      <c r="A8" s="46" t="inlineStr">
        <is>
          <t>•</t>
        </is>
      </c>
      <c r="B8" s="47" t="inlineStr">
        <is>
          <t>Замеры 24.09.2026 (повтор)</t>
        </is>
      </c>
      <c r="C8" s="48" t="inlineStr">
        <is>
          <t>Время запроса на CPU: e5-small 36–37 мс (первый замер 22 мс), BGE-M3 300 мс (первый замер 210 мс), реранкер на 20 кандидатах 7,2 с; бюджет поиска 100 мс. Синхронная проверка Guardrails: на ответе ≈800 знаков P95 ≈49 мс, на ≈2 000 знаков P95 ≈120 мс (бюджет 50 мс). YandexGPT, 19 вызовов: время до первого куска — медиана 0,78 с, P90 5,6 с; до конца ответа — медиана 2,6 с. Postgres, 2 млн строк телеметрии: 589 МБ, агрегаты 0,35–1,5 с. Qdrant, 100 000 векторов размерности 1 024: P99 65 мс без фильтра, 37 мс с фильтром. Backend, путь без модели: 117 запросов/с на процесс, 8,5 мс CPU на запрос. Память: обезличиватель 769 МиБ, эмбеддер e5-small +300 МиБ, контейнер Backend 1,32 ГиБ. Redis: ключ квоты ≈0,5 КБ, сессия ≈0,8 КБ на ход. Prometheus: 84 ряда на процесс. Выбранные допущения и расчёт узлов — лист «Sizing».</t>
        </is>
      </c>
    </row>
    <row r="9" ht="75" customHeight="1">
      <c r="A9" s="46" t="inlineStr">
        <is>
          <t>•</t>
        </is>
      </c>
      <c r="B9" s="47" t="inlineStr">
        <is>
          <t>Что не измерялось</t>
        </is>
      </c>
      <c r="C9" s="48" t="inlineStr">
        <is>
          <t>Скорость любых моделей на GPU. Качество BGE-M3 и других кандидатов на данных проекта. Выигрыш реранкера над текущим индексом (прежний замер — на корпусе из 20 фрагментов). Полнота обезличивания на живых данных. Длина запроса на базе из нескольких тысяч документов. Данные о спросе. Сравнения по документации (pgvector, Milvus, Feature Store, Airflow, Loki, Litestar и др.) замером не проверялись.</t>
        </is>
      </c>
    </row>
    <row r="10" ht="30" customHeight="1">
      <c r="A10" s="46" t="inlineStr">
        <is>
          <t>•</t>
        </is>
      </c>
      <c r="B10" s="47" t="inlineStr">
        <is>
          <t>Внешние зависимости</t>
        </is>
      </c>
      <c r="C10" s="48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2">
      <c r="B12" s="43" t="inlineStr">
        <is>
          <t>Ячейки с оценкой автора — подтвердить</t>
        </is>
      </c>
    </row>
    <row r="13">
      <c r="A13" s="5" t="inlineStr">
        <is>
          <t>№</t>
        </is>
      </c>
      <c r="B13" s="5" t="inlineStr">
        <is>
          <t>Контейнер / связь</t>
        </is>
      </c>
      <c r="C13" s="5" t="inlineStr">
        <is>
          <t>Контур</t>
        </is>
      </c>
      <c r="D13" s="5" t="inlineStr">
        <is>
          <t>Мин</t>
        </is>
      </c>
      <c r="E13" s="5" t="inlineStr">
        <is>
          <t>Макс</t>
        </is>
      </c>
      <c r="F13" s="5" t="inlineStr">
        <is>
          <t>Основа оценки</t>
        </is>
      </c>
    </row>
    <row r="14">
      <c r="A14" s="9">
        <f>'Матрица'!A3</f>
        <v/>
      </c>
      <c r="B14" s="9">
        <f>'Матрица'!C3</f>
        <v/>
      </c>
      <c r="C14" s="9" t="inlineStr">
        <is>
          <t>MVP</t>
        </is>
      </c>
      <c r="D14" s="34">
        <f>'Матрица'!M3</f>
        <v/>
      </c>
      <c r="E14" s="34">
        <f>'Матрица'!N3</f>
        <v/>
      </c>
      <c r="F14" s="13">
        <f>'Матрица'!O3</f>
        <v/>
      </c>
    </row>
    <row r="15">
      <c r="A15" s="9">
        <f>'Матрица'!A4</f>
        <v/>
      </c>
      <c r="B15" s="9">
        <f>'Матрица'!C4</f>
        <v/>
      </c>
      <c r="C15" s="9" t="inlineStr">
        <is>
          <t>MVP</t>
        </is>
      </c>
      <c r="D15" s="34">
        <f>'Матрица'!M4</f>
        <v/>
      </c>
      <c r="E15" s="34">
        <f>'Матрица'!N4</f>
        <v/>
      </c>
      <c r="F15" s="18">
        <f>'Матрица'!O4</f>
        <v/>
      </c>
    </row>
    <row r="16">
      <c r="A16" s="9">
        <f>'Матрица'!A5</f>
        <v/>
      </c>
      <c r="B16" s="9">
        <f>'Матрица'!C5</f>
        <v/>
      </c>
      <c r="C16" s="9" t="inlineStr">
        <is>
          <t>MVP</t>
        </is>
      </c>
      <c r="D16" s="34">
        <f>'Матрица'!M5</f>
        <v/>
      </c>
      <c r="E16" s="34">
        <f>'Матрица'!N5</f>
        <v/>
      </c>
      <c r="F16" s="18">
        <f>'Матрица'!O5</f>
        <v/>
      </c>
    </row>
    <row r="17">
      <c r="A17" s="9">
        <f>'Матрица'!A6</f>
        <v/>
      </c>
      <c r="B17" s="9">
        <f>'Матрица'!C6</f>
        <v/>
      </c>
      <c r="C17" s="9" t="inlineStr">
        <is>
          <t>MVP</t>
        </is>
      </c>
      <c r="D17" s="34">
        <f>'Матрица'!M6</f>
        <v/>
      </c>
      <c r="E17" s="34">
        <f>'Матрица'!N6</f>
        <v/>
      </c>
      <c r="F17" s="13">
        <f>'Матрица'!O6</f>
        <v/>
      </c>
    </row>
    <row r="18">
      <c r="A18" s="9">
        <f>'Матрица'!A7</f>
        <v/>
      </c>
      <c r="B18" s="9">
        <f>'Матрица'!C7</f>
        <v/>
      </c>
      <c r="C18" s="9" t="inlineStr">
        <is>
          <t>MVP</t>
        </is>
      </c>
      <c r="D18" s="34">
        <f>'Матрица'!M7</f>
        <v/>
      </c>
      <c r="E18" s="34">
        <f>'Матрица'!N7</f>
        <v/>
      </c>
      <c r="F18" s="18">
        <f>'Матрица'!O7</f>
        <v/>
      </c>
    </row>
    <row r="19">
      <c r="A19" s="9">
        <f>'Матрица'!A8</f>
        <v/>
      </c>
      <c r="B19" s="9">
        <f>'Матрица'!C8</f>
        <v/>
      </c>
      <c r="C19" s="9" t="inlineStr">
        <is>
          <t>MVP</t>
        </is>
      </c>
      <c r="D19" s="34">
        <f>'Матрица'!M8</f>
        <v/>
      </c>
      <c r="E19" s="34">
        <f>'Матрица'!N8</f>
        <v/>
      </c>
      <c r="F19" s="18">
        <f>'Матрица'!O8</f>
        <v/>
      </c>
    </row>
    <row r="20">
      <c r="A20" s="9">
        <f>'Матрица'!A9</f>
        <v/>
      </c>
      <c r="B20" s="9">
        <f>'Матрица'!C9</f>
        <v/>
      </c>
      <c r="C20" s="9" t="inlineStr">
        <is>
          <t>MVP</t>
        </is>
      </c>
      <c r="D20" s="34">
        <f>'Матрица'!M9</f>
        <v/>
      </c>
      <c r="E20" s="34">
        <f>'Матрица'!N9</f>
        <v/>
      </c>
      <c r="F20" s="13">
        <f>'Матрица'!O9</f>
        <v/>
      </c>
    </row>
    <row r="21">
      <c r="A21" s="9">
        <f>'Матрица'!A10</f>
        <v/>
      </c>
      <c r="B21" s="9">
        <f>'Матрица'!C10</f>
        <v/>
      </c>
      <c r="C21" s="9" t="inlineStr">
        <is>
          <t>MVP</t>
        </is>
      </c>
      <c r="D21" s="34">
        <f>'Матрица'!M10</f>
        <v/>
      </c>
      <c r="E21" s="34">
        <f>'Матрица'!N10</f>
        <v/>
      </c>
      <c r="F21" s="18">
        <f>'Матрица'!O10</f>
        <v/>
      </c>
    </row>
    <row r="22">
      <c r="A22" s="9">
        <f>'Матрица'!A11</f>
        <v/>
      </c>
      <c r="B22" s="9">
        <f>'Матрица'!C11</f>
        <v/>
      </c>
      <c r="C22" s="9" t="inlineStr">
        <is>
          <t>MVP</t>
        </is>
      </c>
      <c r="D22" s="34">
        <f>'Матрица'!M11</f>
        <v/>
      </c>
      <c r="E22" s="34">
        <f>'Матрица'!N11</f>
        <v/>
      </c>
      <c r="F22" s="18">
        <f>'Матрица'!O11</f>
        <v/>
      </c>
    </row>
    <row r="23">
      <c r="A23" s="9">
        <f>'Матрица'!A12</f>
        <v/>
      </c>
      <c r="B23" s="9">
        <f>'Матрица'!C12</f>
        <v/>
      </c>
      <c r="C23" s="9" t="inlineStr">
        <is>
          <t>MVP</t>
        </is>
      </c>
      <c r="D23" s="34">
        <f>'Матрица'!M12</f>
        <v/>
      </c>
      <c r="E23" s="34">
        <f>'Матрица'!N12</f>
        <v/>
      </c>
      <c r="F23" s="13">
        <f>'Матрица'!O12</f>
        <v/>
      </c>
    </row>
    <row r="24">
      <c r="A24" s="9">
        <f>'Матрица'!A13</f>
        <v/>
      </c>
      <c r="B24" s="9">
        <f>'Матрица'!C13</f>
        <v/>
      </c>
      <c r="C24" s="9" t="inlineStr">
        <is>
          <t>MVP</t>
        </is>
      </c>
      <c r="D24" s="34">
        <f>'Матрица'!M13</f>
        <v/>
      </c>
      <c r="E24" s="34">
        <f>'Матрица'!N13</f>
        <v/>
      </c>
      <c r="F24" s="13">
        <f>'Матрица'!O13</f>
        <v/>
      </c>
    </row>
    <row r="25">
      <c r="A25" s="9">
        <f>'Матрица'!A14</f>
        <v/>
      </c>
      <c r="B25" s="9">
        <f>'Матрица'!C14</f>
        <v/>
      </c>
      <c r="C25" s="9" t="inlineStr">
        <is>
          <t>MVP</t>
        </is>
      </c>
      <c r="D25" s="34">
        <f>'Матрица'!M14</f>
        <v/>
      </c>
      <c r="E25" s="34">
        <f>'Матрица'!N14</f>
        <v/>
      </c>
      <c r="F25" s="13">
        <f>'Матрица'!O14</f>
        <v/>
      </c>
    </row>
    <row r="26">
      <c r="A26" s="9">
        <f>'Матрица'!A15</f>
        <v/>
      </c>
      <c r="B26" s="9">
        <f>'Матрица'!C15</f>
        <v/>
      </c>
      <c r="C26" s="9" t="inlineStr">
        <is>
          <t>MVP</t>
        </is>
      </c>
      <c r="D26" s="34">
        <f>'Матрица'!M15</f>
        <v/>
      </c>
      <c r="E26" s="34">
        <f>'Матрица'!N15</f>
        <v/>
      </c>
      <c r="F26" s="13">
        <f>'Матрица'!O15</f>
        <v/>
      </c>
    </row>
    <row r="27">
      <c r="A27" s="9">
        <f>'Матрица'!A15</f>
        <v/>
      </c>
      <c r="B27" s="9">
        <f>'Матрица'!C15</f>
        <v/>
      </c>
      <c r="C27" s="9" t="inlineStr">
        <is>
          <t>Тираж</t>
        </is>
      </c>
      <c r="D27" s="34">
        <f>'Матрица'!S15</f>
        <v/>
      </c>
      <c r="E27" s="34">
        <f>'Матрица'!T15</f>
        <v/>
      </c>
      <c r="F27" s="13">
        <f>'Матрица'!U15</f>
        <v/>
      </c>
    </row>
    <row r="28">
      <c r="A28" s="9">
        <f>'Матрица'!A16</f>
        <v/>
      </c>
      <c r="B28" s="9">
        <f>'Матрица'!C16</f>
        <v/>
      </c>
      <c r="C28" s="9" t="inlineStr">
        <is>
          <t>MVP</t>
        </is>
      </c>
      <c r="D28" s="34">
        <f>'Матрица'!M16</f>
        <v/>
      </c>
      <c r="E28" s="34">
        <f>'Матрица'!N16</f>
        <v/>
      </c>
      <c r="F28" s="13">
        <f>'Матрица'!O16</f>
        <v/>
      </c>
    </row>
    <row r="29">
      <c r="A29" s="9">
        <f>'Матрица'!A16</f>
        <v/>
      </c>
      <c r="B29" s="9">
        <f>'Матрица'!C16</f>
        <v/>
      </c>
      <c r="C29" s="9" t="inlineStr">
        <is>
          <t>Тираж</t>
        </is>
      </c>
      <c r="D29" s="34">
        <f>'Матрица'!S16</f>
        <v/>
      </c>
      <c r="E29" s="34">
        <f>'Матрица'!T16</f>
        <v/>
      </c>
      <c r="F29" s="13">
        <f>'Матрица'!U16</f>
        <v/>
      </c>
    </row>
    <row r="30">
      <c r="A30" s="9">
        <f>'Матрица'!A17</f>
        <v/>
      </c>
      <c r="B30" s="9">
        <f>'Матрица'!C17</f>
        <v/>
      </c>
      <c r="C30" s="9" t="inlineStr">
        <is>
          <t>MVP</t>
        </is>
      </c>
      <c r="D30" s="34">
        <f>'Матрица'!M17</f>
        <v/>
      </c>
      <c r="E30" s="34">
        <f>'Матрица'!N17</f>
        <v/>
      </c>
      <c r="F30" s="18">
        <f>'Матрица'!O17</f>
        <v/>
      </c>
    </row>
    <row r="31">
      <c r="A31" s="9">
        <f>'Матрица'!A18</f>
        <v/>
      </c>
      <c r="B31" s="9">
        <f>'Матрица'!C18</f>
        <v/>
      </c>
      <c r="C31" s="9" t="inlineStr">
        <is>
          <t>MVP</t>
        </is>
      </c>
      <c r="D31" s="34">
        <f>'Матрица'!M18</f>
        <v/>
      </c>
      <c r="E31" s="34">
        <f>'Матрица'!N18</f>
        <v/>
      </c>
      <c r="F31" s="13">
        <f>'Матрица'!O18</f>
        <v/>
      </c>
    </row>
    <row r="32">
      <c r="A32" s="9">
        <f>'Матрица'!A19</f>
        <v/>
      </c>
      <c r="B32" s="9">
        <f>'Матрица'!C19</f>
        <v/>
      </c>
      <c r="C32" s="9" t="inlineStr">
        <is>
          <t>MVP</t>
        </is>
      </c>
      <c r="D32" s="34">
        <f>'Матрица'!M19</f>
        <v/>
      </c>
      <c r="E32" s="34">
        <f>'Матрица'!N19</f>
        <v/>
      </c>
      <c r="F32" s="18">
        <f>'Матрица'!O19</f>
        <v/>
      </c>
    </row>
    <row r="33">
      <c r="A33" s="9">
        <f>'Матрица'!A20</f>
        <v/>
      </c>
      <c r="B33" s="9">
        <f>'Матрица'!C20</f>
        <v/>
      </c>
      <c r="C33" s="9" t="inlineStr">
        <is>
          <t>MVP</t>
        </is>
      </c>
      <c r="D33" s="34">
        <f>'Матрица'!M20</f>
        <v/>
      </c>
      <c r="E33" s="34">
        <f>'Матрица'!N20</f>
        <v/>
      </c>
      <c r="F33" s="18">
        <f>'Матрица'!O20</f>
        <v/>
      </c>
    </row>
    <row r="34">
      <c r="A34" s="9">
        <f>'Матрица'!A21</f>
        <v/>
      </c>
      <c r="B34" s="9">
        <f>'Матрица'!C21</f>
        <v/>
      </c>
      <c r="C34" s="9" t="inlineStr">
        <is>
          <t>MVP</t>
        </is>
      </c>
      <c r="D34" s="34">
        <f>'Матрица'!M21</f>
        <v/>
      </c>
      <c r="E34" s="34">
        <f>'Матрица'!N21</f>
        <v/>
      </c>
      <c r="F34" s="18">
        <f>'Матрица'!O21</f>
        <v/>
      </c>
    </row>
    <row r="35">
      <c r="A35" s="9">
        <f>'Матрица'!A22</f>
        <v/>
      </c>
      <c r="B35" s="9">
        <f>'Матрица'!C22</f>
        <v/>
      </c>
      <c r="C35" s="9" t="inlineStr">
        <is>
          <t>MVP</t>
        </is>
      </c>
      <c r="D35" s="34">
        <f>'Матрица'!M22</f>
        <v/>
      </c>
      <c r="E35" s="34">
        <f>'Матрица'!N22</f>
        <v/>
      </c>
      <c r="F35" s="13">
        <f>'Матрица'!O22</f>
        <v/>
      </c>
    </row>
    <row r="36">
      <c r="A36" s="9">
        <f>'Матрица'!A23</f>
        <v/>
      </c>
      <c r="B36" s="9">
        <f>'Матрица'!C23</f>
        <v/>
      </c>
      <c r="C36" s="9" t="inlineStr">
        <is>
          <t>MVP</t>
        </is>
      </c>
      <c r="D36" s="34">
        <f>'Матрица'!M23</f>
        <v/>
      </c>
      <c r="E36" s="34">
        <f>'Матрица'!N23</f>
        <v/>
      </c>
      <c r="F36" s="13">
        <f>'Матрица'!O23</f>
        <v/>
      </c>
    </row>
    <row r="37">
      <c r="A37" s="9">
        <f>'Матрица'!A24</f>
        <v/>
      </c>
      <c r="B37" s="9">
        <f>'Матрица'!C24</f>
        <v/>
      </c>
      <c r="C37" s="9" t="inlineStr">
        <is>
          <t>MVP</t>
        </is>
      </c>
      <c r="D37" s="34">
        <f>'Матрица'!M24</f>
        <v/>
      </c>
      <c r="E37" s="34">
        <f>'Матрица'!N24</f>
        <v/>
      </c>
      <c r="F37" s="13">
        <f>'Матрица'!O24</f>
        <v/>
      </c>
    </row>
    <row r="38">
      <c r="A38" s="9">
        <f>'Матрица'!A26</f>
        <v/>
      </c>
      <c r="B38" s="9">
        <f>'Матрица'!C26</f>
        <v/>
      </c>
      <c r="C38" s="9" t="inlineStr">
        <is>
          <t>MVP</t>
        </is>
      </c>
      <c r="D38" s="34">
        <f>'Матрица'!M26</f>
        <v/>
      </c>
      <c r="E38" s="34">
        <f>'Матрица'!N26</f>
        <v/>
      </c>
      <c r="F38" s="18">
        <f>'Матрица'!O26</f>
        <v/>
      </c>
    </row>
    <row r="39">
      <c r="A39" s="9">
        <f>'Матрица'!A33</f>
        <v/>
      </c>
      <c r="B39" s="9">
        <f>'Матрица'!C33</f>
        <v/>
      </c>
      <c r="C39" s="9" t="inlineStr">
        <is>
          <t>MVP</t>
        </is>
      </c>
      <c r="D39" s="34">
        <f>'Матрица'!M33</f>
        <v/>
      </c>
      <c r="E39" s="34">
        <f>'Матрица'!N33</f>
        <v/>
      </c>
      <c r="F39" s="18">
        <f>'Матрица'!O33</f>
        <v/>
      </c>
    </row>
    <row r="40">
      <c r="A40" s="9">
        <f>'Матрица'!A34</f>
        <v/>
      </c>
      <c r="B40" s="9">
        <f>'Матрица'!C34</f>
        <v/>
      </c>
      <c r="C40" s="9" t="inlineStr">
        <is>
          <t>MVP</t>
        </is>
      </c>
      <c r="D40" s="34">
        <f>'Матрица'!M34</f>
        <v/>
      </c>
      <c r="E40" s="34">
        <f>'Матрица'!N34</f>
        <v/>
      </c>
      <c r="F40" s="18">
        <f>'Матрица'!O34</f>
        <v/>
      </c>
    </row>
    <row r="41">
      <c r="A41" s="9">
        <f>'Матрица'!A35</f>
        <v/>
      </c>
      <c r="B41" s="9">
        <f>'Матрица'!C35</f>
        <v/>
      </c>
      <c r="C41" s="9" t="inlineStr">
        <is>
          <t>MVP</t>
        </is>
      </c>
      <c r="D41" s="34">
        <f>'Матрица'!M35</f>
        <v/>
      </c>
      <c r="E41" s="34">
        <f>'Матрица'!N35</f>
        <v/>
      </c>
      <c r="F41" s="18">
        <f>'Матрица'!O35</f>
        <v/>
      </c>
    </row>
    <row r="42">
      <c r="A42" s="9">
        <f>'Матрица'!A36</f>
        <v/>
      </c>
      <c r="B42" s="9">
        <f>'Матрица'!C36</f>
        <v/>
      </c>
      <c r="C42" s="9" t="inlineStr">
        <is>
          <t>MVP</t>
        </is>
      </c>
      <c r="D42" s="34">
        <f>'Матрица'!M36</f>
        <v/>
      </c>
      <c r="E42" s="34">
        <f>'Матрица'!N36</f>
        <v/>
      </c>
      <c r="F42" s="13">
        <f>'Матрица'!O36</f>
        <v/>
      </c>
    </row>
    <row r="43">
      <c r="A43" s="9">
        <f>'Матрица'!A38</f>
        <v/>
      </c>
      <c r="B43" s="9">
        <f>'Матрица'!C38</f>
        <v/>
      </c>
      <c r="C43" s="9" t="inlineStr">
        <is>
          <t>MVP</t>
        </is>
      </c>
      <c r="D43" s="34">
        <f>'Матрица'!M38</f>
        <v/>
      </c>
      <c r="E43" s="34">
        <f>'Матрица'!N38</f>
        <v/>
      </c>
      <c r="F43" s="18">
        <f>'Матрица'!O38</f>
        <v/>
      </c>
    </row>
    <row r="44">
      <c r="A44" s="9">
        <f>'Матрица'!A39</f>
        <v/>
      </c>
      <c r="B44" s="9">
        <f>'Матрица'!C39</f>
        <v/>
      </c>
      <c r="C44" s="9" t="inlineStr">
        <is>
          <t>MVP</t>
        </is>
      </c>
      <c r="D44" s="34">
        <f>'Матрица'!M39</f>
        <v/>
      </c>
      <c r="E44" s="34">
        <f>'Матрица'!N39</f>
        <v/>
      </c>
      <c r="F44" s="18">
        <f>'Матрица'!O39</f>
        <v/>
      </c>
    </row>
    <row r="45">
      <c r="A45" s="9">
        <f>'Матрица'!A40</f>
        <v/>
      </c>
      <c r="B45" s="9">
        <f>'Матрица'!C40</f>
        <v/>
      </c>
      <c r="C45" s="9" t="inlineStr">
        <is>
          <t>MVP</t>
        </is>
      </c>
      <c r="D45" s="34">
        <f>'Матрица'!M40</f>
        <v/>
      </c>
      <c r="E45" s="34">
        <f>'Матрица'!N40</f>
        <v/>
      </c>
      <c r="F45" s="18">
        <f>'Матрица'!O40</f>
        <v/>
      </c>
    </row>
    <row r="47">
      <c r="B47" s="43" t="inlineStr">
        <is>
          <t>Документы-источники</t>
        </is>
      </c>
    </row>
    <row r="48">
      <c r="B48" s="11" t="inlineStr">
        <is>
          <t>ADR-100</t>
        </is>
      </c>
      <c r="C48" s="9" t="inlineStr">
        <is>
          <t>Что сдано и что отложено; таблица «целевой компонент — замена на прототипе»</t>
        </is>
      </c>
    </row>
    <row r="49">
      <c r="B49" s="11" t="inlineStr">
        <is>
          <t>ADR-200</t>
        </is>
      </c>
      <c r="C49" s="9" t="inlineStr">
        <is>
          <t>Стек по слоям, альтернативы, сравнение Python/Go/Node.js</t>
        </is>
      </c>
    </row>
    <row r="50">
      <c r="B50" s="11" t="inlineStr">
        <is>
          <t>ADR-300</t>
        </is>
      </c>
      <c r="C50" s="9" t="inlineStr">
        <is>
          <t>Модели: классификация, эмбеддинги, реранкер, генерация, судья</t>
        </is>
      </c>
    </row>
    <row r="51">
      <c r="B51" s="11" t="inlineStr">
        <is>
          <t>ADR-400</t>
        </is>
      </c>
      <c r="C51" s="9" t="inlineStr">
        <is>
          <t>Безопасность по контурам, открытые пункты</t>
        </is>
      </c>
    </row>
    <row r="52">
      <c r="B52" s="11" t="inlineStr">
        <is>
          <t>ADR-500</t>
        </is>
      </c>
      <c r="C52" s="9" t="inlineStr">
        <is>
          <t>Ресурсы и стоимость: прототип, MVP, тираж</t>
        </is>
      </c>
    </row>
    <row r="53">
      <c r="B53" s="11" t="inlineStr">
        <is>
          <t>ADR-600</t>
        </is>
      </c>
      <c r="C53" s="9" t="inlineStr">
        <is>
          <t>План развития и укрупнённые оценки трудозатрат</t>
        </is>
      </c>
    </row>
    <row r="54">
      <c r="B54" s="11" t="inlineStr">
        <is>
          <t>C4_Deployment, C3/*</t>
        </is>
      </c>
      <c r="C54" s="9" t="inlineStr">
        <is>
          <t>Целевая схема развёртывания и компоненты</t>
        </is>
      </c>
    </row>
    <row r="55">
      <c r="B55" s="11" t="inlineStr">
        <is>
          <t>Код и docker-compose.yml</t>
        </is>
      </c>
      <c r="C55" s="9" t="inlineStr">
        <is>
          <t>Проверка колонки «Сейчас»</t>
        </is>
      </c>
    </row>
  </sheetData>
  <mergeCells count="16">
    <mergeCell ref="C52:F52"/>
    <mergeCell ref="C9:F9"/>
    <mergeCell ref="C53:F53"/>
    <mergeCell ref="C48:F48"/>
    <mergeCell ref="C3:F3"/>
    <mergeCell ref="C8:F8"/>
    <mergeCell ref="C49:F49"/>
    <mergeCell ref="C4:F4"/>
    <mergeCell ref="C6:F6"/>
    <mergeCell ref="C7:F7"/>
    <mergeCell ref="C54:F54"/>
    <mergeCell ref="C51:F51"/>
    <mergeCell ref="C10:F10"/>
    <mergeCell ref="C5:F5"/>
    <mergeCell ref="C55:F55"/>
    <mergeCell ref="C50:F50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30" customWidth="1" min="3" max="3"/>
    <col width="78" customWidth="1" min="4" max="4"/>
    <col width="26" customWidth="1" min="5" max="5"/>
    <col width="30" customWidth="1" min="6" max="6"/>
  </cols>
  <sheetData>
    <row r="1">
      <c r="A1" s="32" t="inlineStr">
        <is>
          <t>Объём и нагрузка по контейнерам</t>
        </is>
      </c>
    </row>
    <row r="2" ht="48" customHeight="1">
      <c r="A2" s="49" t="inlineStr">
        <is>
          <t>Нагрузка из модели `Capacity_Report.html` (лист «Прогноз стоимости», допущения спроса данными водоканала не подтверждены): MVP (8 000 абонентов) — 1 680–42 000 вопросов в месяц, пик 0,002–0,058 запроса/с, одновременно 0,007–0,17; тираж (90 000) — 18 900–472 500 вопросов, пик 0,026–0,656 запроса/с, одновременно 0,08–1,97 (минимум–максимум). Сценарии рассчитаны под 10 и 100 тысяч абонентов; в ADR-500 те же контуры — 8 000 и 90 000.</t>
        </is>
      </c>
    </row>
    <row r="4">
      <c r="A4" s="5" t="inlineStr">
        <is>
          <t>№</t>
        </is>
      </c>
      <c r="B4" s="5" t="inlineStr">
        <is>
          <t>Контейнер</t>
        </is>
      </c>
      <c r="C4" s="5" t="inlineStr">
        <is>
          <t>Что определяет объём</t>
        </is>
      </c>
      <c r="D4" s="5" t="inlineStr">
        <is>
          <t>Что заложено</t>
        </is>
      </c>
      <c r="E4" s="5" t="inlineStr">
        <is>
          <t>Статус</t>
        </is>
      </c>
      <c r="F4" s="5" t="inlineStr">
        <is>
          <t>Источник</t>
        </is>
      </c>
    </row>
    <row r="5" ht="45" customHeight="1">
      <c r="A5" s="50" t="n">
        <v>1</v>
      </c>
      <c r="B5" s="11" t="inlineStr">
        <is>
          <t>AI-виджет</t>
        </is>
      </c>
      <c r="C5" s="9" t="inlineStr">
        <is>
          <t>Число одновременных пользователей</t>
        </is>
      </c>
      <c r="D5" s="9" t="inlineStr">
        <is>
          <t>Отдельного объёма нет: статические файлы, нагрузка — общая (см. Backend). Одновременно до 0,17 запроса на MVP и до 2 на тираже (максимум прогноза).</t>
        </is>
      </c>
      <c r="E5" s="9" t="inlineStr">
        <is>
          <t>Расчёт по допущениям</t>
        </is>
      </c>
      <c r="F5" s="9" t="inlineStr">
        <is>
          <t>Capacity_Report, раздел 4</t>
        </is>
      </c>
    </row>
    <row r="6" ht="60" customHeight="1">
      <c r="A6" s="50" t="n">
        <v>2</v>
      </c>
      <c r="B6" s="11" t="inlineStr">
        <is>
          <t>Backend</t>
        </is>
      </c>
      <c r="C6" s="9" t="inlineStr">
        <is>
          <t>Число запросов в секунду</t>
        </is>
      </c>
      <c r="D6" s="9" t="inlineStr">
        <is>
          <t>Общая нагрузка (см. выше). Замер: путь без модели — 117 запросов/с на один процесс (8,5 мс CPU на запрос), при 4 параллельных запросах медиана 36 мс. Выбрано: 2 реплики на MVP и 3 на тираже по 0,5 и 1 vCPU, ОЗУ 0,5 и 1 ГиБ (лист «Sizing»).</t>
        </is>
      </c>
      <c r="E6" s="9" t="inlineStr">
        <is>
          <t>Замер пропускной способности; реплики выбраны</t>
        </is>
      </c>
      <c r="F6" s="9" t="inlineStr">
        <is>
          <t>Capacity_Report, раздел 7; ADR-600 (нагрузочные тесты в плане)</t>
        </is>
      </c>
    </row>
    <row r="7" ht="45" customHeight="1">
      <c r="A7" s="50" t="n">
        <v>3</v>
      </c>
      <c r="B7" s="11" t="inlineStr">
        <is>
          <t>Классификатор обращений (Triage)</t>
        </is>
      </c>
      <c r="C7" s="9" t="inlineStr">
        <is>
          <t>Число вопросов; размер набора примеров k-NN</t>
        </is>
      </c>
      <c r="D7" s="9" t="inlineStr">
        <is>
          <t>Один проход на вопрос (22–37 мс на CPU, замер). Набор примеров сейчас — 136 обращений; для MVP требуется не менее 100 на тип (около 1 500–2 000 текстов).</t>
        </is>
      </c>
      <c r="E7" s="9" t="inlineStr">
        <is>
          <t>Замер задержки; объём набора — план</t>
        </is>
      </c>
      <c r="F7" s="9" t="inlineStr">
        <is>
          <t>ADR-300; ADR-600</t>
        </is>
      </c>
    </row>
    <row r="8" ht="45" customHeight="1">
      <c r="A8" s="50" t="n">
        <v>4</v>
      </c>
      <c r="B8" s="11" t="inlineStr">
        <is>
          <t>LLM Gateway</t>
        </is>
      </c>
      <c r="C8" s="9" t="inlineStr">
        <is>
          <t>Число вопросов и лимиты</t>
        </is>
      </c>
      <c r="D8" s="9" t="inlineStr">
        <is>
          <t>Общая нагрузка. Лимиты по умолчанию в `app/config.py`: 20 запросов в минуту на абонента, 10 на сессию, 300 на сервис (5 запросов/с); расчётом не обоснованы. Сессия живёт 30 минут.</t>
        </is>
      </c>
      <c r="E8" s="9" t="inlineStr">
        <is>
          <t>Настройки прототипа</t>
        </is>
      </c>
      <c r="F8" s="9" t="inlineStr">
        <is>
          <t>app/config.py</t>
        </is>
      </c>
    </row>
    <row r="9" ht="60" customHeight="1">
      <c r="A9" s="50" t="n">
        <v>5</v>
      </c>
      <c r="B9" s="11" t="inlineStr">
        <is>
          <t>PII Filter</t>
        </is>
      </c>
      <c r="C9" s="9" t="inlineStr">
        <is>
          <t>Число вопросов и ответов</t>
        </is>
      </c>
      <c r="D9" s="9" t="inlineStr">
        <is>
          <t>Один проход на вопрос и один на ответ. Время проверки ответа ≈800 знаков — 30–45 мс (замер), на ≈2 000 знаков — 60–70 мс. Память обезличивателя (Presidio + spaCy) — 769 МиБ (замер). Работает внутри шлюза, отдельного пода нет.</t>
        </is>
      </c>
      <c r="E9" s="9" t="inlineStr">
        <is>
          <t>Замер</t>
        </is>
      </c>
      <c r="F9" s="9" t="inlineStr">
        <is>
          <t>ADR-400</t>
        </is>
      </c>
    </row>
    <row r="10" ht="60" customHeight="1">
      <c r="A10" s="50" t="n">
        <v>6</v>
      </c>
      <c r="B10" s="11" t="inlineStr">
        <is>
          <t>Guardrails и судья качества</t>
        </is>
      </c>
      <c r="C10" s="9" t="inlineStr">
        <is>
          <t>Число ответов; оценка судьёй</t>
        </is>
      </c>
      <c r="D10" s="9" t="inlineStr">
        <is>
          <t>Судья: 1,3–23,7 млн токенов в месяц на MVP и 1,9–174 млн на тираже (эталонный набор из 30 вопросов раз в неделю или каждую ночь плюс 1–5% выборка трафика); допущение: 5 вызовов судьи по ≈2 000 токенов на образец, не измерено.</t>
        </is>
      </c>
      <c r="E10" s="9" t="inlineStr">
        <is>
          <t>Расчёт по допущениям</t>
        </is>
      </c>
      <c r="F10" s="9" t="inlineStr">
        <is>
          <t>Capacity_Report, лист «Прогноз стоимости»</t>
        </is>
      </c>
    </row>
    <row r="11" ht="75" customHeight="1">
      <c r="A11" s="50" t="n">
        <v>7</v>
      </c>
      <c r="B11" s="11" t="inlineStr">
        <is>
          <t>LLM Provider</t>
        </is>
      </c>
      <c r="C11" s="9" t="inlineStr">
        <is>
          <t>Токены генерации</t>
        </is>
      </c>
      <c r="D11" s="9" t="inlineStr">
        <is>
          <t>Токенов на запрос: измерено 401 (19 вызовов, фрагменты FAQ до 300 знаков), допущение максимума — 3 500. Стоимость токенов (генерация и судья) — 1 234–101 280 ₽ в месяц на MVP и 3 305 ₽–1,07 млн ₽ на тираже (минимум–максимум); до модели доходит 30–70% вопросов. Агент Этапа 2 добавит до 44 800 ₽ (MVP) и 504 000 ₽ (тираж) в месяц в максимуме.</t>
        </is>
      </c>
      <c r="E11" s="9" t="inlineStr">
        <is>
          <t>Замер (401) и допущение (3 500)</t>
        </is>
      </c>
      <c r="F11" s="9" t="inlineStr">
        <is>
          <t>ADR-500; Capacity_Report</t>
        </is>
      </c>
    </row>
    <row r="12" ht="30" customHeight="1">
      <c r="A12" s="50" t="n">
        <v>8</v>
      </c>
      <c r="B12" s="11" t="inlineStr">
        <is>
          <t>Эмбеддинги (модель поиска)</t>
        </is>
      </c>
      <c r="C12" s="9" t="inlineStr">
        <is>
          <t>Вопросы; индексация базы знаний</t>
        </is>
      </c>
      <c r="D12" s="9" t="inlineStr">
        <is>
          <t>Один запрос на вопрос; при индексации 30 000–100 000 частей. Скорость на CPU измерена, на GPU — нет.</t>
        </is>
      </c>
      <c r="E12" s="9" t="inlineStr">
        <is>
          <t>Замер на CPU; GPU не измерялся</t>
        </is>
      </c>
      <c r="F12" s="9" t="inlineStr">
        <is>
          <t>ADR-200; ADR-300</t>
        </is>
      </c>
    </row>
    <row r="13" ht="45" customHeight="1">
      <c r="A13" s="50" t="n">
        <v>9</v>
      </c>
      <c r="B13" s="11" t="inlineStr">
        <is>
          <t>Реранкер</t>
        </is>
      </c>
      <c r="C13" s="9" t="inlineStr">
        <is>
          <t>Вопросы × 20 кандидатов</t>
        </is>
      </c>
      <c r="D13" s="9" t="inlineStr">
        <is>
          <t>Одно переранжирование 20 кандидатов на вопрос (до 0,058 вопроса/с на MVP и 0,656 на тираже). На CPU 7,2 с (замер); загрузка GPU не оценивается: скорость на GPU не измерялась.</t>
        </is>
      </c>
      <c r="E13" s="9" t="inlineStr">
        <is>
          <t>Замер на CPU; GPU не измерялся</t>
        </is>
      </c>
      <c r="F13" s="9" t="inlineStr">
        <is>
          <t>ADR-300; Capacity_Report</t>
        </is>
      </c>
    </row>
    <row r="14" ht="60" customHeight="1">
      <c r="A14" s="50" t="n">
        <v>10</v>
      </c>
      <c r="B14" s="11" t="inlineStr">
        <is>
          <t>Векторная база (Qdrant)</t>
        </is>
      </c>
      <c r="C14" s="9" t="inlineStr">
        <is>
          <t>Размер базы знаний</t>
        </is>
      </c>
      <c r="D14" s="9" t="inlineStr">
        <is>
          <t>Несколько тысяч документов (3 000–5 000), 30 000–100 000 векторов размерности 1 024, ≈0,15–0,5 ГБ на диске (замер: 100 000 векторов — 477 МБ, ОЗУ 527 МиБ). От числа абонентов не зависит. Поиск на 100 000 векторов: P99 65 мс без фильтра, 37 мс с фильтром (замер).</t>
        </is>
      </c>
      <c r="E14" s="9" t="inlineStr">
        <is>
          <t>Допущение объёма; замер поиска</t>
        </is>
      </c>
      <c r="F14" s="9" t="inlineStr">
        <is>
          <t>ADR-200</t>
        </is>
      </c>
    </row>
    <row r="15" ht="60" customHeight="1">
      <c r="A15" s="50" t="n">
        <v>11</v>
      </c>
      <c r="B15" s="11" t="inlineStr">
        <is>
          <t>Кэш профиля абонента (Postgres)</t>
        </is>
      </c>
      <c r="C15" s="9" t="inlineStr">
        <is>
          <t>Число абонентов и начислений</t>
        </is>
      </c>
      <c r="D15" s="9" t="inlineStr">
        <is>
          <t>8 000 профилей на MVP, 90 000 на тираже. Строка профиля с начислениями — 3 КБ (допущение): ≈24 МБ на MVP, ≈270 МБ на тираже. По примеру прототипа (200 счетов, 1 323 начисления) ≈6,6 начисления на счёт. Хранится в Postgres (см. ниже).</t>
        </is>
      </c>
      <c r="E15" s="9" t="inlineStr">
        <is>
          <t>Допущение; выбрано и посчитано</t>
        </is>
      </c>
      <c r="F15" s="9" t="inlineStr">
        <is>
          <t>ADR-200; data_example</t>
        </is>
      </c>
    </row>
    <row r="16" ht="45" customHeight="1">
      <c r="A16" s="50" t="n">
        <v>12</v>
      </c>
      <c r="B16" s="11" t="inlineStr">
        <is>
          <t>Redis (квоты, состояние диалога)</t>
        </is>
      </c>
      <c r="C16" s="9" t="inlineStr">
        <is>
          <t>Одновременные сессии и счётчики</t>
        </is>
      </c>
      <c r="D16" s="9" t="inlineStr">
        <is>
          <t>Замер: ключ квоты ≈0,5 КБ, сессия ≈0,8 КБ на ход, срок жизни 30 минут; до 1 200 одновременных сессий ≈4 МБ. Выбрано: 1 экземпляр на MVP, 2 на тираже, 0,25 ГиБ (лист «Sizing»).</t>
        </is>
      </c>
      <c r="E16" s="9" t="inlineStr">
        <is>
          <t>Замер; экземпляры выбраны</t>
        </is>
      </c>
      <c r="F16" s="9" t="inlineStr">
        <is>
          <t>app/config.py; Capacity_Report</t>
        </is>
      </c>
    </row>
    <row r="17" ht="120" customHeight="1">
      <c r="A17" s="50" t="n">
        <v>13</v>
      </c>
      <c r="B17" s="11" t="inlineStr">
        <is>
          <t>Postgres (обращения, слепки, события, телеметрия)</t>
        </is>
      </c>
      <c r="C17" s="9" t="inlineStr">
        <is>
          <t>Диалоги, обращения, события</t>
        </is>
      </c>
      <c r="D17" s="9" t="inlineStr">
        <is>
          <t>События использования: 6 048–352 800 строк в год на MVP и 68 040–3,97 млн на тираже (≈2–109 МБ и 21 МБ–1,2 ГБ в год; замер 2 млн строк — 589 МБ). Журнал диалогов при сроке хранения 90 суток (выбрано) — до 0,08 ГБ на MVP и 0,94 ГБ на тираже (4 КБ на диалог, максимум прогноза). Подробные события хранятся 12 месяцев (замер: 12 млн строк дают агрегат по всей таблице 39 с). Итого до 0,4 ГБ на MVP и до 4 ГБ на тираже, том 20 и 50 ГиБ (лист «Sizing»). Число обращений в месяц принято равным диалогам с записью.</t>
        </is>
      </c>
      <c r="E17" s="9" t="inlineStr">
        <is>
          <t>Расчёт и замер; срок хранения выбран</t>
        </is>
      </c>
      <c r="F17" s="9" t="inlineStr">
        <is>
          <t>ADR-200; Sizing</t>
        </is>
      </c>
    </row>
    <row r="18" ht="30" customHeight="1">
      <c r="A18" s="50" t="n">
        <v>14</v>
      </c>
      <c r="B18" s="11" t="inlineStr">
        <is>
          <t>Индексация базы знаний (ETL)</t>
        </is>
      </c>
      <c r="C18" s="9" t="inlineStr">
        <is>
          <t>Число частей и окно 02:00–05:00</t>
        </is>
      </c>
      <c r="D18" s="9" t="inlineStr">
        <is>
          <t>30 000–100 000 частей. На CPU e5-small ≈14–46 мин, BGE-M3 ≈2,7–9,6 ч; на GPU не измерялось.</t>
        </is>
      </c>
      <c r="E18" s="9" t="inlineStr">
        <is>
          <t>Расчёт по замеру на CPU</t>
        </is>
      </c>
      <c r="F18" s="9" t="inlineStr">
        <is>
          <t>ADR-200</t>
        </is>
      </c>
    </row>
    <row r="19" ht="75" customHeight="1">
      <c r="A19" s="50" t="n">
        <v>15</v>
      </c>
      <c r="B19" s="11" t="inlineStr">
        <is>
          <t>Агент записи, Billing Adapter, Сервис обращений, Document Generator (Этап 2)</t>
        </is>
      </c>
      <c r="C19" s="9" t="inlineStr">
        <is>
          <t>Доля диалогов с записью</t>
        </is>
      </c>
      <c r="D19" s="9" t="inlineStr">
        <is>
          <t>Допущение A6: 15–40% диалогов ведут к записи — до 2 800 диалогов в месяц на MVP и 31 500 на тираже; надбавка токенов до ≈56 и ≈630 млн в месяц. Хранилище готовых документов (MinIO): ≈200 КБ на бланк (допущение) — до 6,7 ГБ в год на MVP и 76 ГБ в год на тираже; том MinIO 100 и 400 ГиБ с копиями и документами базы знаний (лист «Sizing»).</t>
        </is>
      </c>
      <c r="E19" s="9" t="inlineStr">
        <is>
          <t>Допущение; выбрано и посчитано</t>
        </is>
      </c>
      <c r="F19" s="9" t="inlineStr">
        <is>
          <t>Capacity_Report, раздел 8.5</t>
        </is>
      </c>
    </row>
    <row r="20" ht="105" customHeight="1">
      <c r="A20" s="50" t="n">
        <v>16</v>
      </c>
      <c r="B20" s="11" t="inlineStr">
        <is>
          <t>Оркестрация (Kubernetes), узлы</t>
        </is>
      </c>
      <c r="C20" s="9" t="inlineStr">
        <is>
          <t>Число и размер узлов</t>
        </is>
      </c>
      <c r="D20" s="9" t="inlineStr">
        <is>
          <t>Расчёт по выбранным допущениям (лист «Sizing», базовый вариант без GPU: в кластере владельца GPU нет): MVP — 6 узлов (4 общих 8 vCPU/16 ГиБ, 2 данных 8 vCPU/32 ГиБ), тираж — 7 (+1 узел под собственную модель с A100 80 ГБ). Вариант с GPU-узлом: 6 и 8 узлов (3 общих, 2 данных, 1 GPU; на тираже ещё узел под модель). Диск под тома ≈172 ГиБ на MVP и ≈663 ГиБ на тираже. Расчёт для отдельного кластера — верхняя оценка для общего. Стоимость серверов не оценена.</t>
        </is>
      </c>
      <c r="E20" s="9" t="inlineStr">
        <is>
          <t>Расчёт по допущениям</t>
        </is>
      </c>
      <c r="F20" s="9" t="inlineStr">
        <is>
          <t>Sizing; C4_Deployment</t>
        </is>
      </c>
    </row>
    <row r="21" ht="75" customHeight="1">
      <c r="A21" s="50" t="n">
        <v>17</v>
      </c>
      <c r="B21" s="11" t="inlineStr">
        <is>
          <t>Наблюдаемость</t>
        </is>
      </c>
      <c r="C21" s="9" t="inlineStr">
        <is>
          <t>Метрики и логи</t>
        </is>
      </c>
      <c r="D21" s="9" t="inlineStr">
        <is>
          <t>Loki: сейчас ≈65 байт на вопрос (замер) — до 31 МБ за 30 суток на тираже; целевая трассировка до 10 КБ на вопрос (допущение) — 0,02–0,42 ГБ на MVP и 0,19–4,7 ГБ на тираже. Prometheus: 84 ряда на процесс приложения (замер), до 20 000 рядов с метриками кластера (допущение), хранение 15 суток ≈2,6 ГБ; том 10 ГиБ (лист «Sizing»).</t>
        </is>
      </c>
      <c r="E21" s="9" t="inlineStr">
        <is>
          <t>Допущение и замер</t>
        </is>
      </c>
      <c r="F21" s="9" t="inlineStr">
        <is>
          <t>Capacity_Report, раздел 6</t>
        </is>
      </c>
    </row>
    <row r="22" ht="30" customHeight="1">
      <c r="A22" s="50" t="n">
        <v>18</v>
      </c>
      <c r="B22" s="11" t="inlineStr">
        <is>
          <t>Секреты (Vault)</t>
        </is>
      </c>
      <c r="C22" s="9" t="inlineStr">
        <is>
          <t>—</t>
        </is>
      </c>
      <c r="D22" s="9" t="inlineStr">
        <is>
          <t>Объёма нет.</t>
        </is>
      </c>
      <c r="E22" s="9" t="inlineStr">
        <is>
          <t>Не применимо</t>
        </is>
      </c>
      <c r="F22" s="9" t="inlineStr">
        <is>
          <t>ADR-400</t>
        </is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46"/>
  <sheetViews>
    <sheetView showGridLines="0"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46" customWidth="1" min="3" max="3"/>
    <col width="8" customWidth="1" min="4" max="4"/>
    <col width="9" customWidth="1" min="5" max="5"/>
    <col width="10" customWidth="1" min="6" max="6"/>
    <col width="10" customWidth="1" min="7" max="7"/>
    <col width="11" customWidth="1" min="8" max="8"/>
    <col width="9" customWidth="1" min="9" max="9"/>
    <col width="10" customWidth="1" min="10" max="10"/>
    <col width="10" customWidth="1" min="11" max="11"/>
    <col width="11" customWidth="1" min="12" max="12"/>
    <col width="8" customWidth="1" min="13" max="13"/>
    <col width="9" customWidth="1" min="14" max="14"/>
    <col width="10" customWidth="1" min="15" max="15"/>
    <col width="10" customWidth="1" min="16" max="16"/>
    <col width="11" customWidth="1" min="17" max="17"/>
    <col width="9" customWidth="1" min="18" max="18"/>
    <col width="10" customWidth="1" min="19" max="19"/>
    <col width="10" customWidth="1" min="20" max="20"/>
    <col width="11" customWidth="1" min="21" max="21"/>
    <col width="90" customWidth="1" min="22" max="22"/>
  </cols>
  <sheetData>
    <row r="1">
      <c r="A1" s="32" t="inlineStr">
        <is>
          <t>Расчётный sizing по компонентам (допущения, не результат нагрузочного теста)</t>
        </is>
      </c>
    </row>
    <row r="2">
      <c r="A2" s="33" t="inlineStr">
        <is>
          <t>Синие ячейки — входные допущения, их можно менять; итоги и число узлов пересчитываются. Основание — в последней колонке.</t>
        </is>
      </c>
    </row>
    <row r="3" ht="32" customHeight="1">
      <c r="B3" s="11" t="inlineStr">
        <is>
          <t>Расчётная нагрузка</t>
        </is>
      </c>
      <c r="C3" s="9" t="inlineStr">
        <is>
          <t>Расчётный пик — 0,1 запроса/с на MVP и 1 запрос/с на тираже; это выше максимума прогноза `Capacity_Report.html` (0,058 и 0,656 запроса/с), одновременно до 0,17 и 1,97 запроса (время ответа 3 с). До модели доходит 70% запросов (максимум прогноза).</t>
        </is>
      </c>
    </row>
    <row r="4" ht="32" customHeight="1">
      <c r="B4" s="11" t="inlineStr">
        <is>
          <t>CPU на запрос</t>
        </is>
      </c>
      <c r="C4" s="9" t="inlineStr">
        <is>
          <t>Путь без модели — 8,5 мс на запрос (замер: один процесс отдаёт 117 запросов/с). Путь с моделью — 0,9 с на ответ в 800 знаков (эмбеддинг 36 мс + обезличивание + проверка ответа на потоке 0,3–0,9 с; на ответе в 2 000 знаков 1,4–4,5 с, замер). При максимуме прогноза (0,46 запроса/с к модели на тираже) это ≈0,41 ядра; на ответах в 2 000 знаков — до 2,1 ядра.</t>
        </is>
      </c>
    </row>
    <row r="5" ht="32" customHeight="1">
      <c r="B5" s="11" t="inlineStr">
        <is>
          <t>Память</t>
        </is>
      </c>
      <c r="C5" s="9" t="inlineStr">
        <is>
          <t>Замер: обезличиватель (Presidio + spaCy `ru_core_news_md`) — 769 МиБ, эмбеддер e5-small — ещё 300 МиБ, контейнер Backend целиком — 1,32 ГиБ. На MVP эмбеддер уходит в отдельный сервис, обезличиватель остаётся в шлюзе.</t>
        </is>
      </c>
    </row>
    <row r="6" ht="32" customHeight="1">
      <c r="B6" s="11" t="inlineStr">
        <is>
          <t>Данные</t>
        </is>
      </c>
      <c r="C6" s="9" t="inlineStr">
        <is>
          <t>Ключ квоты в Redis — 72 байта, с накладными ≈0,5 КБ (замер). Сессия диалога — 1,6 КБ на два хода, ≈0,8 КБ на ход (замер), живёт 30 минут. Диалог — 4 хода ≈ 4 КБ с метаданными (допущение A3 = 4). Срок хранения журнала диалогов принят 90 суток (требование ИБ неизвестно). Строка телеметрии — 308 байт с индексами (замер).</t>
        </is>
      </c>
    </row>
    <row r="7" ht="32" customHeight="1">
      <c r="B7" s="11" t="inlineStr">
        <is>
          <t>Отказоустойчивость</t>
        </is>
      </c>
      <c r="C7" s="9" t="inlineStr">
        <is>
          <t>Минимум 2 реплики у stateless-сервисов; у хранилищ — 1 экземпляр на MVP с ежедневной копией и 2 экземпляра на тираже. Узлов на один больше, чем нужно по запросам (N+1); GPU-узел один, потеря узла = отказ поиска до восстановления.</t>
        </is>
      </c>
    </row>
    <row r="8" ht="32" customHeight="1">
      <c r="B8" s="11" t="inlineStr">
        <is>
          <t>GPU в кластере</t>
        </is>
      </c>
      <c r="C8" s="9" t="inlineStr">
        <is>
          <t>В кластере владельца, где уже работает личный кабинет, GPU-узлов нет (со слов заказчика проекта). Базовый вариант расчёта — **без GPU**: эмбеддинги `multilingual-e5-small` на CPU (36–37 мс на запрос, замер), реранкер выключен (на CPU 7,2 с), индексация считает эмбеддинги на CPU. Вариант **с GPU** — покупка и подключение узла к кластеру: владелец решит только после проверки на реальных данных (цена не оценена); переключатель на листе «Sizing».</t>
        </is>
      </c>
    </row>
    <row r="9" ht="32" customHeight="1">
      <c r="B9" s="11" t="inlineStr">
        <is>
          <t>Узлы</t>
        </is>
      </c>
      <c r="C9" s="9" t="inlineStr">
        <is>
          <t>Загрузка узла по запросам не выше 70%. Класс узлов: общий — 8 vCPU / 16 ГиБ; данных — 8 vCPU / 32 ГиБ с NVMe; GPU — 8 vCPU / 32 ГиБ и видеокарта 24 ГБ; LLM (тираж) — 16 vCPU / 128 ГиБ и A100 80 ГБ.</t>
        </is>
      </c>
    </row>
    <row r="10">
      <c r="B10" s="11" t="inlineStr">
        <is>
          <t>GPU-узел в кластере (1 — есть, 0 — нет)</t>
        </is>
      </c>
      <c r="C10" s="51" t="n">
        <v>0</v>
      </c>
    </row>
    <row r="12">
      <c r="D12" s="52" t="inlineStr">
        <is>
          <t>MVP</t>
        </is>
      </c>
      <c r="M12" s="52" t="inlineStr">
        <is>
          <t>Тираж</t>
        </is>
      </c>
    </row>
    <row r="13">
      <c r="A13" s="5" t="inlineStr">
        <is>
          <t>№</t>
        </is>
      </c>
      <c r="B13" s="5" t="inlineStr">
        <is>
          <t>Пул</t>
        </is>
      </c>
      <c r="C13" s="5" t="inlineStr">
        <is>
          <t>Компонент</t>
        </is>
      </c>
      <c r="D13" s="5" t="inlineStr">
        <is>
          <t>Реплик</t>
        </is>
      </c>
      <c r="E13" s="5" t="inlineStr">
        <is>
          <t>vCPU на под</t>
        </is>
      </c>
      <c r="F13" s="5" t="inlineStr">
        <is>
          <t>ОЗУ, ГиБ на под</t>
        </is>
      </c>
      <c r="G13" s="5" t="inlineStr">
        <is>
          <t>Диск, ГиБ на под</t>
        </is>
      </c>
      <c r="H13" s="5" t="inlineStr">
        <is>
          <t>Видеопамять, ГиБ на под</t>
        </is>
      </c>
      <c r="I13" s="5" t="inlineStr">
        <is>
          <t>vCPU всего</t>
        </is>
      </c>
      <c r="J13" s="5" t="inlineStr">
        <is>
          <t>ОЗУ всего, ГиБ</t>
        </is>
      </c>
      <c r="K13" s="5" t="inlineStr">
        <is>
          <t>Диск всего, ГиБ</t>
        </is>
      </c>
      <c r="L13" s="5" t="inlineStr">
        <is>
          <t>Видеопамять всего, ГиБ</t>
        </is>
      </c>
      <c r="M13" s="5" t="inlineStr">
        <is>
          <t>Реплик</t>
        </is>
      </c>
      <c r="N13" s="5" t="inlineStr">
        <is>
          <t>vCPU на под</t>
        </is>
      </c>
      <c r="O13" s="5" t="inlineStr">
        <is>
          <t>ОЗУ, ГиБ на под</t>
        </is>
      </c>
      <c r="P13" s="5" t="inlineStr">
        <is>
          <t>Диск, ГиБ на под</t>
        </is>
      </c>
      <c r="Q13" s="5" t="inlineStr">
        <is>
          <t>Видеопамять, ГиБ на под</t>
        </is>
      </c>
      <c r="R13" s="5" t="inlineStr">
        <is>
          <t>vCPU всего</t>
        </is>
      </c>
      <c r="S13" s="5" t="inlineStr">
        <is>
          <t>ОЗУ всего, ГиБ</t>
        </is>
      </c>
      <c r="T13" s="5" t="inlineStr">
        <is>
          <t>Диск всего, ГиБ</t>
        </is>
      </c>
      <c r="U13" s="5" t="inlineStr">
        <is>
          <t>Видеопамять всего, ГиБ</t>
        </is>
      </c>
      <c r="V13" s="5" t="inlineStr">
        <is>
          <t>Основание</t>
        </is>
      </c>
    </row>
    <row r="14" ht="30" customHeight="1">
      <c r="A14" s="50" t="n">
        <v>1</v>
      </c>
      <c r="B14" s="9" t="inlineStr">
        <is>
          <t>general</t>
        </is>
      </c>
      <c r="C14" s="11" t="inlineStr">
        <is>
          <t>Ingress (nginx)</t>
        </is>
      </c>
      <c r="D14" s="51" t="n">
        <v>2</v>
      </c>
      <c r="E14" s="51" t="n">
        <v>0.25</v>
      </c>
      <c r="F14" s="51" t="n">
        <v>0.25</v>
      </c>
      <c r="G14" s="51" t="n">
        <v>0</v>
      </c>
      <c r="H14" s="51" t="n">
        <v>0</v>
      </c>
      <c r="I14" s="53">
        <f>D14*E14</f>
        <v/>
      </c>
      <c r="J14" s="53">
        <f>D14*F14</f>
        <v/>
      </c>
      <c r="K14" s="53">
        <f>D14*G14</f>
        <v/>
      </c>
      <c r="L14" s="53">
        <f>D14*H14</f>
        <v/>
      </c>
      <c r="M14" s="51" t="n">
        <v>2</v>
      </c>
      <c r="N14" s="51" t="n">
        <v>0.25</v>
      </c>
      <c r="O14" s="51" t="n">
        <v>0.25</v>
      </c>
      <c r="P14" s="51" t="n">
        <v>0</v>
      </c>
      <c r="Q14" s="51" t="n">
        <v>0</v>
      </c>
      <c r="R14" s="53">
        <f>M14*N14</f>
        <v/>
      </c>
      <c r="S14" s="53">
        <f>M14*O14</f>
        <v/>
      </c>
      <c r="T14" s="53">
        <f>M14*P14</f>
        <v/>
      </c>
      <c r="U14" s="53">
        <f>M14*Q14</f>
        <v/>
      </c>
      <c r="V14" s="9" t="inlineStr">
        <is>
          <t>Допущение. Внешний трафик — единицы запросов в секунду.</t>
        </is>
      </c>
    </row>
    <row r="15" ht="30" customHeight="1">
      <c r="A15" s="50" t="n">
        <v>2</v>
      </c>
      <c r="B15" s="9" t="inlineStr">
        <is>
          <t>general</t>
        </is>
      </c>
      <c r="C15" s="11" t="inlineStr">
        <is>
          <t>Vault</t>
        </is>
      </c>
      <c r="D15" s="51" t="n">
        <v>1</v>
      </c>
      <c r="E15" s="51" t="n">
        <v>0.25</v>
      </c>
      <c r="F15" s="51" t="n">
        <v>0.25</v>
      </c>
      <c r="G15" s="51" t="n">
        <v>1</v>
      </c>
      <c r="H15" s="51" t="n">
        <v>0</v>
      </c>
      <c r="I15" s="53">
        <f>D15*E15</f>
        <v/>
      </c>
      <c r="J15" s="53">
        <f>D15*F15</f>
        <v/>
      </c>
      <c r="K15" s="53">
        <f>D15*G15</f>
        <v/>
      </c>
      <c r="L15" s="53">
        <f>D15*H15</f>
        <v/>
      </c>
      <c r="M15" s="51" t="n">
        <v>1</v>
      </c>
      <c r="N15" s="51" t="n">
        <v>0.25</v>
      </c>
      <c r="O15" s="51" t="n">
        <v>0.25</v>
      </c>
      <c r="P15" s="51" t="n">
        <v>1</v>
      </c>
      <c r="Q15" s="51" t="n">
        <v>0</v>
      </c>
      <c r="R15" s="53">
        <f>M15*N15</f>
        <v/>
      </c>
      <c r="S15" s="53">
        <f>M15*O15</f>
        <v/>
      </c>
      <c r="T15" s="53">
        <f>M15*P15</f>
        <v/>
      </c>
      <c r="U15" s="53">
        <f>M15*Q15</f>
        <v/>
      </c>
      <c r="V15" s="9" t="inlineStr">
        <is>
          <t>Допущение. Инжектор секретов и cert-manager — отдельной строкой не выделены (≈0,1 vCPU / 0,1 ГиБ).</t>
        </is>
      </c>
    </row>
    <row r="16" ht="30" customHeight="1">
      <c r="A16" s="50" t="n">
        <v>3</v>
      </c>
      <c r="B16" s="9" t="inlineStr">
        <is>
          <t>general</t>
        </is>
      </c>
      <c r="C16" s="11" t="inlineStr">
        <is>
          <t>AI-виджет (статические файлы)</t>
        </is>
      </c>
      <c r="D16" s="51" t="n">
        <v>2</v>
      </c>
      <c r="E16" s="51" t="n">
        <v>0.1</v>
      </c>
      <c r="F16" s="51" t="n">
        <v>0.1</v>
      </c>
      <c r="G16" s="51" t="n">
        <v>0</v>
      </c>
      <c r="H16" s="51" t="n">
        <v>0</v>
      </c>
      <c r="I16" s="53">
        <f>D16*E16</f>
        <v/>
      </c>
      <c r="J16" s="53">
        <f>D16*F16</f>
        <v/>
      </c>
      <c r="K16" s="53">
        <f>D16*G16</f>
        <v/>
      </c>
      <c r="L16" s="53">
        <f>D16*H16</f>
        <v/>
      </c>
      <c r="M16" s="51" t="n">
        <v>2</v>
      </c>
      <c r="N16" s="51" t="n">
        <v>0.1</v>
      </c>
      <c r="O16" s="51" t="n">
        <v>0.1</v>
      </c>
      <c r="P16" s="51" t="n">
        <v>0</v>
      </c>
      <c r="Q16" s="51" t="n">
        <v>0</v>
      </c>
      <c r="R16" s="53">
        <f>M16*N16</f>
        <v/>
      </c>
      <c r="S16" s="53">
        <f>M16*O16</f>
        <v/>
      </c>
      <c r="T16" s="53">
        <f>M16*P16</f>
        <v/>
      </c>
      <c r="U16" s="53">
        <f>M16*Q16</f>
        <v/>
      </c>
      <c r="V16" s="9" t="inlineStr">
        <is>
          <t>Допущение. На стенде три статических файла.</t>
        </is>
      </c>
    </row>
    <row r="17" ht="30" customHeight="1">
      <c r="A17" s="50" t="n">
        <v>4</v>
      </c>
      <c r="B17" s="9" t="inlineStr">
        <is>
          <t>general</t>
        </is>
      </c>
      <c r="C17" s="11" t="inlineStr">
        <is>
          <t>Backend (API, классификация, поиск, сборка ответа)</t>
        </is>
      </c>
      <c r="D17" s="51" t="n">
        <v>2</v>
      </c>
      <c r="E17" s="51" t="n">
        <v>0.5</v>
      </c>
      <c r="F17" s="51" t="n">
        <v>0.5</v>
      </c>
      <c r="G17" s="51" t="n">
        <v>0</v>
      </c>
      <c r="H17" s="51" t="n">
        <v>0</v>
      </c>
      <c r="I17" s="53">
        <f>D17*E17</f>
        <v/>
      </c>
      <c r="J17" s="53">
        <f>D17*F17</f>
        <v/>
      </c>
      <c r="K17" s="53">
        <f>D17*G17</f>
        <v/>
      </c>
      <c r="L17" s="53">
        <f>D17*H17</f>
        <v/>
      </c>
      <c r="M17" s="51" t="n">
        <v>3</v>
      </c>
      <c r="N17" s="51" t="n">
        <v>1</v>
      </c>
      <c r="O17" s="51" t="n">
        <v>1</v>
      </c>
      <c r="P17" s="51" t="n">
        <v>0</v>
      </c>
      <c r="Q17" s="51" t="n">
        <v>0</v>
      </c>
      <c r="R17" s="53">
        <f>M17*N17</f>
        <v/>
      </c>
      <c r="S17" s="53">
        <f>M17*O17</f>
        <v/>
      </c>
      <c r="T17" s="53">
        <f>M17*P17</f>
        <v/>
      </c>
      <c r="U17" s="53">
        <f>M17*Q17</f>
        <v/>
      </c>
      <c r="V17" s="9" t="inlineStr">
        <is>
          <t>Замер: путь без модели — 117 запросов/с на процесс (8,5 мс CPU). 2 реплики нужны для отказоустойчивости, а не для пропускной способности; ОЗУ — допущение (эмбеддер и обезличиватель вынесены).</t>
        </is>
      </c>
    </row>
    <row r="18" ht="45" customHeight="1">
      <c r="A18" s="50" t="n">
        <v>5</v>
      </c>
      <c r="B18" s="9" t="inlineStr">
        <is>
          <t>general</t>
        </is>
      </c>
      <c r="C18" s="11" t="inlineStr">
        <is>
          <t>LLM Gateway (лимиты, обезличивание, проверка ответа)</t>
        </is>
      </c>
      <c r="D18" s="51" t="n">
        <v>2</v>
      </c>
      <c r="E18" s="51" t="n">
        <v>0.5</v>
      </c>
      <c r="F18" s="51" t="n">
        <v>1.5</v>
      </c>
      <c r="G18" s="51" t="n">
        <v>0</v>
      </c>
      <c r="H18" s="51" t="n">
        <v>0</v>
      </c>
      <c r="I18" s="53">
        <f>D18*E18</f>
        <v/>
      </c>
      <c r="J18" s="53">
        <f>D18*F18</f>
        <v/>
      </c>
      <c r="K18" s="53">
        <f>D18*G18</f>
        <v/>
      </c>
      <c r="L18" s="53">
        <f>D18*H18</f>
        <v/>
      </c>
      <c r="M18" s="51" t="n">
        <v>3</v>
      </c>
      <c r="N18" s="51" t="n">
        <v>1</v>
      </c>
      <c r="O18" s="51" t="n">
        <v>1.5</v>
      </c>
      <c r="P18" s="51" t="n">
        <v>0</v>
      </c>
      <c r="Q18" s="51" t="n">
        <v>0</v>
      </c>
      <c r="R18" s="53">
        <f>M18*N18</f>
        <v/>
      </c>
      <c r="S18" s="53">
        <f>M18*O18</f>
        <v/>
      </c>
      <c r="T18" s="53">
        <f>M18*P18</f>
        <v/>
      </c>
      <c r="U18" s="53">
        <f>M18*Q18</f>
        <v/>
      </c>
      <c r="V18" s="9" t="inlineStr">
        <is>
          <t>Замер ОЗУ: обезличиватель 769 МиБ. CPU: 0,9 с на ответ в 800 знаков — 0,04 ядра на MVP, 0,41 на тираже (максимум прогноза); на ответах в 2 000 знаков до 2,1 ядра (3 реплики × 1 vCPU + предел 2). После оптимизации проверки на потоке запас вырастет.</t>
        </is>
      </c>
    </row>
    <row r="19" ht="30" customHeight="1">
      <c r="A19" s="50" t="n">
        <v>6</v>
      </c>
      <c r="B19" s="9" t="inlineStr">
        <is>
          <t>general</t>
        </is>
      </c>
      <c r="C19" s="11" t="inlineStr">
        <is>
          <t>Billing Adapter, оркестратор записи (Этап 2)</t>
        </is>
      </c>
      <c r="D19" s="51" t="n">
        <v>2</v>
      </c>
      <c r="E19" s="51" t="n">
        <v>0.25</v>
      </c>
      <c r="F19" s="51" t="n">
        <v>0.25</v>
      </c>
      <c r="G19" s="51" t="n">
        <v>0</v>
      </c>
      <c r="H19" s="51" t="n">
        <v>0</v>
      </c>
      <c r="I19" s="53">
        <f>D19*E19</f>
        <v/>
      </c>
      <c r="J19" s="53">
        <f>D19*F19</f>
        <v/>
      </c>
      <c r="K19" s="53">
        <f>D19*G19</f>
        <v/>
      </c>
      <c r="L19" s="53">
        <f>D19*H19</f>
        <v/>
      </c>
      <c r="M19" s="51" t="n">
        <v>2</v>
      </c>
      <c r="N19" s="51" t="n">
        <v>0.25</v>
      </c>
      <c r="O19" s="51" t="n">
        <v>0.25</v>
      </c>
      <c r="P19" s="51" t="n">
        <v>0</v>
      </c>
      <c r="Q19" s="51" t="n">
        <v>0</v>
      </c>
      <c r="R19" s="53">
        <f>M19*N19</f>
        <v/>
      </c>
      <c r="S19" s="53">
        <f>M19*O19</f>
        <v/>
      </c>
      <c r="T19" s="53">
        <f>M19*P19</f>
        <v/>
      </c>
      <c r="U19" s="53">
        <f>M19*Q19</f>
        <v/>
      </c>
      <c r="V19" s="9" t="inlineStr">
        <is>
          <t>Допущение. До 2 800 диалогов с записью в месяц на MVP и 31 500 на тираже (максимум прогноза, A6 = 40%) — нагрузка ничтожна.</t>
        </is>
      </c>
    </row>
    <row r="20" ht="30" customHeight="1">
      <c r="A20" s="50" t="n">
        <v>7</v>
      </c>
      <c r="B20" s="9" t="inlineStr">
        <is>
          <t>general</t>
        </is>
      </c>
      <c r="C20" s="11" t="inlineStr">
        <is>
          <t>Document Generator (PDF, Этап 2)</t>
        </is>
      </c>
      <c r="D20" s="51" t="n">
        <v>1</v>
      </c>
      <c r="E20" s="51" t="n">
        <v>0.5</v>
      </c>
      <c r="F20" s="51" t="n">
        <v>1</v>
      </c>
      <c r="G20" s="51" t="n">
        <v>0</v>
      </c>
      <c r="H20" s="51" t="n">
        <v>0</v>
      </c>
      <c r="I20" s="53">
        <f>D20*E20</f>
        <v/>
      </c>
      <c r="J20" s="53">
        <f>D20*F20</f>
        <v/>
      </c>
      <c r="K20" s="53">
        <f>D20*G20</f>
        <v/>
      </c>
      <c r="L20" s="53">
        <f>D20*H20</f>
        <v/>
      </c>
      <c r="M20" s="51" t="n">
        <v>2</v>
      </c>
      <c r="N20" s="51" t="n">
        <v>0.5</v>
      </c>
      <c r="O20" s="51" t="n">
        <v>1</v>
      </c>
      <c r="P20" s="51" t="n">
        <v>0</v>
      </c>
      <c r="Q20" s="51" t="n">
        <v>0</v>
      </c>
      <c r="R20" s="53">
        <f>M20*N20</f>
        <v/>
      </c>
      <c r="S20" s="53">
        <f>M20*O20</f>
        <v/>
      </c>
      <c r="T20" s="53">
        <f>M20*P20</f>
        <v/>
      </c>
      <c r="U20" s="53">
        <f>M20*Q20</f>
        <v/>
      </c>
      <c r="V20" s="9" t="inlineStr">
        <is>
          <t>Допущение. Библиотека PDF не выбрана; ≈1 бланк на диалог с записью (до 31 500 в месяц на тираже).</t>
        </is>
      </c>
    </row>
    <row r="21" ht="30" customHeight="1">
      <c r="A21" s="50" t="n">
        <v>8</v>
      </c>
      <c r="B21" s="9" t="inlineStr">
        <is>
          <t>general</t>
        </is>
      </c>
      <c r="C21" s="11" t="inlineStr">
        <is>
          <t>ETL индексации (CronJob, окно 02:00–05:00) [вариант с GPU]</t>
        </is>
      </c>
      <c r="D21" s="51">
        <f>1*$C$10</f>
        <v/>
      </c>
      <c r="E21" s="51" t="n">
        <v>1</v>
      </c>
      <c r="F21" s="51" t="n">
        <v>2</v>
      </c>
      <c r="G21" s="51" t="n">
        <v>5</v>
      </c>
      <c r="H21" s="51" t="n">
        <v>0</v>
      </c>
      <c r="I21" s="53">
        <f>D21*E21</f>
        <v/>
      </c>
      <c r="J21" s="53">
        <f>D21*F21</f>
        <v/>
      </c>
      <c r="K21" s="53">
        <f>D21*G21</f>
        <v/>
      </c>
      <c r="L21" s="53">
        <f>D21*H21</f>
        <v/>
      </c>
      <c r="M21" s="51">
        <f>1*$C$10</f>
        <v/>
      </c>
      <c r="N21" s="51" t="n">
        <v>1</v>
      </c>
      <c r="O21" s="51" t="n">
        <v>2</v>
      </c>
      <c r="P21" s="51" t="n">
        <v>5</v>
      </c>
      <c r="Q21" s="51" t="n">
        <v>0</v>
      </c>
      <c r="R21" s="53">
        <f>M21*N21</f>
        <v/>
      </c>
      <c r="S21" s="53">
        <f>M21*O21</f>
        <v/>
      </c>
      <c r="T21" s="53">
        <f>M21*P21</f>
        <v/>
      </c>
      <c r="U21" s="53">
        <f>M21*Q21</f>
        <v/>
      </c>
      <c r="V21" s="9" t="inlineStr">
        <is>
          <t>Допущение. Эмбеддинги считает GPU-сервис; 5 ГиБ — временные файлы документов. Время индексации на GPU не измерялось.</t>
        </is>
      </c>
    </row>
    <row r="22" ht="30" customHeight="1">
      <c r="A22" s="50" t="n">
        <v>9</v>
      </c>
      <c r="B22" s="9" t="inlineStr">
        <is>
          <t>general</t>
        </is>
      </c>
      <c r="C22" s="11" t="inlineStr">
        <is>
          <t>Оценка качества (CronJob, ночной прогон)</t>
        </is>
      </c>
      <c r="D22" s="51" t="n">
        <v>1</v>
      </c>
      <c r="E22" s="51" t="n">
        <v>0.5</v>
      </c>
      <c r="F22" s="51" t="n">
        <v>1</v>
      </c>
      <c r="G22" s="51" t="n">
        <v>0</v>
      </c>
      <c r="H22" s="51" t="n">
        <v>0</v>
      </c>
      <c r="I22" s="53">
        <f>D22*E22</f>
        <v/>
      </c>
      <c r="J22" s="53">
        <f>D22*F22</f>
        <v/>
      </c>
      <c r="K22" s="53">
        <f>D22*G22</f>
        <v/>
      </c>
      <c r="L22" s="53">
        <f>D22*H22</f>
        <v/>
      </c>
      <c r="M22" s="51" t="n">
        <v>1</v>
      </c>
      <c r="N22" s="51" t="n">
        <v>0.5</v>
      </c>
      <c r="O22" s="51" t="n">
        <v>1</v>
      </c>
      <c r="P22" s="51" t="n">
        <v>0</v>
      </c>
      <c r="Q22" s="51" t="n">
        <v>0</v>
      </c>
      <c r="R22" s="53">
        <f>M22*N22</f>
        <v/>
      </c>
      <c r="S22" s="53">
        <f>M22*O22</f>
        <v/>
      </c>
      <c r="T22" s="53">
        <f>M22*P22</f>
        <v/>
      </c>
      <c r="U22" s="53">
        <f>M22*Q22</f>
        <v/>
      </c>
      <c r="V22" s="9" t="inlineStr">
        <is>
          <t>Допущение. Ходит во внешний API судьи; локальной нагрузки почти нет.</t>
        </is>
      </c>
    </row>
    <row r="23" ht="30" customHeight="1">
      <c r="A23" s="50" t="n">
        <v>10</v>
      </c>
      <c r="B23" s="9" t="inlineStr">
        <is>
          <t>general</t>
        </is>
      </c>
      <c r="C23" s="11" t="inlineStr">
        <is>
          <t>Prometheus</t>
        </is>
      </c>
      <c r="D23" s="51" t="n">
        <v>1</v>
      </c>
      <c r="E23" s="51" t="n">
        <v>0.5</v>
      </c>
      <c r="F23" s="51" t="n">
        <v>1</v>
      </c>
      <c r="G23" s="51" t="n">
        <v>10</v>
      </c>
      <c r="H23" s="51" t="n">
        <v>0</v>
      </c>
      <c r="I23" s="53">
        <f>D23*E23</f>
        <v/>
      </c>
      <c r="J23" s="53">
        <f>D23*F23</f>
        <v/>
      </c>
      <c r="K23" s="53">
        <f>D23*G23</f>
        <v/>
      </c>
      <c r="L23" s="53">
        <f>D23*H23</f>
        <v/>
      </c>
      <c r="M23" s="51" t="n">
        <v>1</v>
      </c>
      <c r="N23" s="51" t="n">
        <v>0.5</v>
      </c>
      <c r="O23" s="51" t="n">
        <v>1</v>
      </c>
      <c r="P23" s="51" t="n">
        <v>10</v>
      </c>
      <c r="Q23" s="51" t="n">
        <v>0</v>
      </c>
      <c r="R23" s="53">
        <f>M23*N23</f>
        <v/>
      </c>
      <c r="S23" s="53">
        <f>M23*O23</f>
        <v/>
      </c>
      <c r="T23" s="53">
        <f>M23*P23</f>
        <v/>
      </c>
      <c r="U23" s="53">
        <f>M23*Q23</f>
        <v/>
      </c>
      <c r="V23" s="9" t="inlineStr">
        <is>
          <t>Замер: 84 ряда на процесс приложения; допущение: до 20 000 рядов с метриками кластера, хранение 15 суток ≈2,6 ГБ.</t>
        </is>
      </c>
    </row>
    <row r="24" ht="30" customHeight="1">
      <c r="A24" s="50" t="n">
        <v>11</v>
      </c>
      <c r="B24" s="9" t="inlineStr">
        <is>
          <t>general</t>
        </is>
      </c>
      <c r="C24" s="11" t="inlineStr">
        <is>
          <t>Grafana</t>
        </is>
      </c>
      <c r="D24" s="51" t="n">
        <v>1</v>
      </c>
      <c r="E24" s="51" t="n">
        <v>0.25</v>
      </c>
      <c r="F24" s="51" t="n">
        <v>0.25</v>
      </c>
      <c r="G24" s="51" t="n">
        <v>1</v>
      </c>
      <c r="H24" s="51" t="n">
        <v>0</v>
      </c>
      <c r="I24" s="53">
        <f>D24*E24</f>
        <v/>
      </c>
      <c r="J24" s="53">
        <f>D24*F24</f>
        <v/>
      </c>
      <c r="K24" s="53">
        <f>D24*G24</f>
        <v/>
      </c>
      <c r="L24" s="53">
        <f>D24*H24</f>
        <v/>
      </c>
      <c r="M24" s="51" t="n">
        <v>1</v>
      </c>
      <c r="N24" s="51" t="n">
        <v>0.25</v>
      </c>
      <c r="O24" s="51" t="n">
        <v>0.25</v>
      </c>
      <c r="P24" s="51" t="n">
        <v>1</v>
      </c>
      <c r="Q24" s="51" t="n">
        <v>0</v>
      </c>
      <c r="R24" s="53">
        <f>M24*N24</f>
        <v/>
      </c>
      <c r="S24" s="53">
        <f>M24*O24</f>
        <v/>
      </c>
      <c r="T24" s="53">
        <f>M24*P24</f>
        <v/>
      </c>
      <c r="U24" s="53">
        <f>M24*Q24</f>
        <v/>
      </c>
      <c r="V24" s="9" t="inlineStr">
        <is>
          <t>Допущение.</t>
        </is>
      </c>
    </row>
    <row r="25" ht="45" customHeight="1">
      <c r="A25" s="50" t="n">
        <v>12</v>
      </c>
      <c r="B25" s="9" t="inlineStr">
        <is>
          <t>general</t>
        </is>
      </c>
      <c r="C25" s="11" t="inlineStr">
        <is>
          <t>Loki</t>
        </is>
      </c>
      <c r="D25" s="51" t="n">
        <v>1</v>
      </c>
      <c r="E25" s="51" t="n">
        <v>0.5</v>
      </c>
      <c r="F25" s="51" t="n">
        <v>1</v>
      </c>
      <c r="G25" s="51" t="n">
        <v>20</v>
      </c>
      <c r="H25" s="51" t="n">
        <v>0</v>
      </c>
      <c r="I25" s="53">
        <f>D25*E25</f>
        <v/>
      </c>
      <c r="J25" s="53">
        <f>D25*F25</f>
        <v/>
      </c>
      <c r="K25" s="53">
        <f>D25*G25</f>
        <v/>
      </c>
      <c r="L25" s="53">
        <f>D25*H25</f>
        <v/>
      </c>
      <c r="M25" s="51" t="n">
        <v>1</v>
      </c>
      <c r="N25" s="51" t="n">
        <v>0.5</v>
      </c>
      <c r="O25" s="51" t="n">
        <v>1</v>
      </c>
      <c r="P25" s="51" t="n">
        <v>20</v>
      </c>
      <c r="Q25" s="51" t="n">
        <v>0</v>
      </c>
      <c r="R25" s="53">
        <f>M25*N25</f>
        <v/>
      </c>
      <c r="S25" s="53">
        <f>M25*O25</f>
        <v/>
      </c>
      <c r="T25" s="53">
        <f>M25*P25</f>
        <v/>
      </c>
      <c r="U25" s="53">
        <f>M25*Q25</f>
        <v/>
      </c>
      <c r="V25" s="9" t="inlineStr">
        <is>
          <t>Замер: сейчас Backend пишет одну строку (≈65 байт) на вопрос — 2,7 МБ за 30 суток на MVP в максимуме и 31 МБ на тираже. Заложена целевая трассировка до 10 КБ на вопрос (допущение): 0,02–0,42 ГБ на MVP и 0,19–4,7 ГБ на тираже за 30 суток; 20 ГиБ с запасом.</t>
        </is>
      </c>
    </row>
    <row r="26" ht="30" customHeight="1">
      <c r="A26" s="50" t="n">
        <v>13</v>
      </c>
      <c r="B26" s="9" t="inlineStr">
        <is>
          <t>general</t>
        </is>
      </c>
      <c r="C26" s="11" t="inlineStr">
        <is>
          <t>Alertmanager</t>
        </is>
      </c>
      <c r="D26" s="51" t="n">
        <v>1</v>
      </c>
      <c r="E26" s="51" t="n">
        <v>0.1</v>
      </c>
      <c r="F26" s="51" t="n">
        <v>0.1</v>
      </c>
      <c r="G26" s="51" t="n">
        <v>0</v>
      </c>
      <c r="H26" s="51" t="n">
        <v>0</v>
      </c>
      <c r="I26" s="53">
        <f>D26*E26</f>
        <v/>
      </c>
      <c r="J26" s="53">
        <f>D26*F26</f>
        <v/>
      </c>
      <c r="K26" s="53">
        <f>D26*G26</f>
        <v/>
      </c>
      <c r="L26" s="53">
        <f>D26*H26</f>
        <v/>
      </c>
      <c r="M26" s="51" t="n">
        <v>1</v>
      </c>
      <c r="N26" s="51" t="n">
        <v>0.1</v>
      </c>
      <c r="O26" s="51" t="n">
        <v>0.1</v>
      </c>
      <c r="P26" s="51" t="n">
        <v>0</v>
      </c>
      <c r="Q26" s="51" t="n">
        <v>0</v>
      </c>
      <c r="R26" s="53">
        <f>M26*N26</f>
        <v/>
      </c>
      <c r="S26" s="53">
        <f>M26*O26</f>
        <v/>
      </c>
      <c r="T26" s="53">
        <f>M26*P26</f>
        <v/>
      </c>
      <c r="U26" s="53">
        <f>M26*Q26</f>
        <v/>
      </c>
      <c r="V26" s="9" t="inlineStr">
        <is>
          <t>Допущение.</t>
        </is>
      </c>
    </row>
    <row r="27" ht="60" customHeight="1">
      <c r="A27" s="50" t="n">
        <v>14</v>
      </c>
      <c r="B27" s="9" t="inlineStr">
        <is>
          <t>data</t>
        </is>
      </c>
      <c r="C27" s="11" t="inlineStr">
        <is>
          <t>Qdrant</t>
        </is>
      </c>
      <c r="D27" s="51" t="n">
        <v>1</v>
      </c>
      <c r="E27" s="51" t="n">
        <v>1</v>
      </c>
      <c r="F27" s="51" t="n">
        <v>2</v>
      </c>
      <c r="G27" s="51" t="n">
        <v>10</v>
      </c>
      <c r="H27" s="51" t="n">
        <v>0</v>
      </c>
      <c r="I27" s="53">
        <f>D27*E27</f>
        <v/>
      </c>
      <c r="J27" s="53">
        <f>D27*F27</f>
        <v/>
      </c>
      <c r="K27" s="53">
        <f>D27*G27</f>
        <v/>
      </c>
      <c r="L27" s="53">
        <f>D27*H27</f>
        <v/>
      </c>
      <c r="M27" s="51" t="n">
        <v>2</v>
      </c>
      <c r="N27" s="51" t="n">
        <v>1</v>
      </c>
      <c r="O27" s="51" t="n">
        <v>2</v>
      </c>
      <c r="P27" s="51" t="n">
        <v>10</v>
      </c>
      <c r="Q27" s="51" t="n">
        <v>0</v>
      </c>
      <c r="R27" s="53">
        <f>M27*N27</f>
        <v/>
      </c>
      <c r="S27" s="53">
        <f>M27*O27</f>
        <v/>
      </c>
      <c r="T27" s="53">
        <f>M27*P27</f>
        <v/>
      </c>
      <c r="U27" s="53">
        <f>M27*Q27</f>
        <v/>
      </c>
      <c r="V27" s="9" t="inlineStr">
        <is>
          <t>Расчёт: 30–100 тыс. векторов × 1 024 × 4 байта = 123–410 МБ. Замер: 100 000 векторов — 477 МБ на диске и 527 МиБ ОЗУ (718 МиБ при загрузке); во время blue-green две коллекции и копия — 10 ГиБ. Замер: 100 000 векторов, P99 65 мс. От числа абонентов не зависит; вторая реплика на тираже — для отказоустойчивости.</t>
        </is>
      </c>
    </row>
    <row r="28" ht="90" customHeight="1">
      <c r="A28" s="50" t="n">
        <v>15</v>
      </c>
      <c r="B28" s="9" t="inlineStr">
        <is>
          <t>data</t>
        </is>
      </c>
      <c r="C28" s="11" t="inlineStr">
        <is>
          <t>Postgres (обращения, профиль, телеметрия, журнал диалогов)</t>
        </is>
      </c>
      <c r="D28" s="51" t="n">
        <v>1</v>
      </c>
      <c r="E28" s="51" t="n">
        <v>1</v>
      </c>
      <c r="F28" s="51" t="n">
        <v>2</v>
      </c>
      <c r="G28" s="51" t="n">
        <v>20</v>
      </c>
      <c r="H28" s="51" t="n">
        <v>0</v>
      </c>
      <c r="I28" s="53">
        <f>D28*E28</f>
        <v/>
      </c>
      <c r="J28" s="53">
        <f>D28*F28</f>
        <v/>
      </c>
      <c r="K28" s="53">
        <f>D28*G28</f>
        <v/>
      </c>
      <c r="L28" s="53">
        <f>D28*H28</f>
        <v/>
      </c>
      <c r="M28" s="51" t="n">
        <v>2</v>
      </c>
      <c r="N28" s="51" t="n">
        <v>1</v>
      </c>
      <c r="O28" s="51" t="n">
        <v>2</v>
      </c>
      <c r="P28" s="51" t="n">
        <v>50</v>
      </c>
      <c r="Q28" s="51" t="n">
        <v>0</v>
      </c>
      <c r="R28" s="53">
        <f>M28*N28</f>
        <v/>
      </c>
      <c r="S28" s="53">
        <f>M28*O28</f>
        <v/>
      </c>
      <c r="T28" s="53">
        <f>M28*P28</f>
        <v/>
      </c>
      <c r="U28" s="53">
        <f>M28*Q28</f>
        <v/>
      </c>
      <c r="V28" s="9" t="inlineStr">
        <is>
          <t>Расчёт по максимуму прогноза: журнал диалогов за 90 суток (4 КБ на диалог) — 84 МБ на MVP и 0,95 ГБ на тираже; профиль 24 МБ и 270 МБ (заложено 3 КБ на абонента; по примеру прототипа — 0,7 КБ на счёт в CSV); события использования 0,11 ГБ и 1,2 ГБ в год (308 байт на строку, замер); обращения (заложено 2 КБ на строку, замер по 8 строкам — 0,58 КБ; доля записи 40%) 0,07 и 0,76 ГБ в год. Итого до 0,4 ГБ (MVP) и до 4 ГБ (тираж; подробные события хранятся 12 месяцев, старше — сводная таблица); диск с запасом на журнал и копии.</t>
        </is>
      </c>
    </row>
    <row r="29" ht="45" customHeight="1">
      <c r="A29" s="50" t="n">
        <v>16</v>
      </c>
      <c r="B29" s="9" t="inlineStr">
        <is>
          <t>data</t>
        </is>
      </c>
      <c r="C29" s="11" t="inlineStr">
        <is>
          <t>Redis (квоты и сессии)</t>
        </is>
      </c>
      <c r="D29" s="51" t="n">
        <v>1</v>
      </c>
      <c r="E29" s="51" t="n">
        <v>0.1</v>
      </c>
      <c r="F29" s="51" t="n">
        <v>0.25</v>
      </c>
      <c r="G29" s="51" t="n">
        <v>1</v>
      </c>
      <c r="H29" s="51" t="n">
        <v>0</v>
      </c>
      <c r="I29" s="53">
        <f>D29*E29</f>
        <v/>
      </c>
      <c r="J29" s="53">
        <f>D29*F29</f>
        <v/>
      </c>
      <c r="K29" s="53">
        <f>D29*G29</f>
        <v/>
      </c>
      <c r="L29" s="53">
        <f>D29*H29</f>
        <v/>
      </c>
      <c r="M29" s="51" t="n">
        <v>2</v>
      </c>
      <c r="N29" s="51" t="n">
        <v>0.1</v>
      </c>
      <c r="O29" s="51" t="n">
        <v>0.25</v>
      </c>
      <c r="P29" s="51" t="n">
        <v>1</v>
      </c>
      <c r="Q29" s="51" t="n">
        <v>0</v>
      </c>
      <c r="R29" s="53">
        <f>M29*N29</f>
        <v/>
      </c>
      <c r="S29" s="53">
        <f>M29*O29</f>
        <v/>
      </c>
      <c r="T29" s="53">
        <f>M29*P29</f>
        <v/>
      </c>
      <c r="U29" s="53">
        <f>M29*Q29</f>
        <v/>
      </c>
      <c r="V29" s="9" t="inlineStr">
        <is>
          <t>Замер: ключ квоты ≈0,5 КБ, сессия ≈0,8 КБ на ход, срок жизни 30 минут. До 1 200 одновременных сессий (0,656 запроса/с × 30 мин) × 3 КБ ≈ 4 МБ: объём ничтожен. Отказ Redis отклоняет запросы (fail-closed), поэтому на тираже 2 экземпляра.</t>
        </is>
      </c>
    </row>
    <row r="30" ht="45" customHeight="1">
      <c r="A30" s="50" t="n">
        <v>17</v>
      </c>
      <c r="B30" s="9" t="inlineStr">
        <is>
          <t>data</t>
        </is>
      </c>
      <c r="C30" s="11" t="inlineStr">
        <is>
          <t>MinIO (документы, копии, снимки)</t>
        </is>
      </c>
      <c r="D30" s="51" t="n">
        <v>1</v>
      </c>
      <c r="E30" s="51" t="n">
        <v>0.25</v>
      </c>
      <c r="F30" s="51" t="n">
        <v>0.5</v>
      </c>
      <c r="G30" s="51" t="n">
        <v>100</v>
      </c>
      <c r="H30" s="51" t="n">
        <v>0</v>
      </c>
      <c r="I30" s="53">
        <f>D30*E30</f>
        <v/>
      </c>
      <c r="J30" s="53">
        <f>D30*F30</f>
        <v/>
      </c>
      <c r="K30" s="53">
        <f>D30*G30</f>
        <v/>
      </c>
      <c r="L30" s="53">
        <f>D30*H30</f>
        <v/>
      </c>
      <c r="M30" s="51" t="n">
        <v>1</v>
      </c>
      <c r="N30" s="51" t="n">
        <v>0.5</v>
      </c>
      <c r="O30" s="51" t="n">
        <v>1</v>
      </c>
      <c r="P30" s="51" t="n">
        <v>400</v>
      </c>
      <c r="Q30" s="51" t="n">
        <v>0</v>
      </c>
      <c r="R30" s="53">
        <f>M30*N30</f>
        <v/>
      </c>
      <c r="S30" s="53">
        <f>M30*O30</f>
        <v/>
      </c>
      <c r="T30" s="53">
        <f>M30*P30</f>
        <v/>
      </c>
      <c r="U30" s="53">
        <f>M30*Q30</f>
        <v/>
      </c>
      <c r="V30" s="9" t="inlineStr">
        <is>
          <t>Расчёт по максимуму прогноза: готовые бланки ≈200 КБ (допущение) × 2 800 в месяц = 6,7 ГБ в год (MVP) и × 31 500 = 76 ГБ в год (тираж), хранение 3 года — 20 и 227 ГБ; копии Postgres за 7 суток до 42 ГБ; документы базы знаний ≈1 ГБ; снимки Qdrant.</t>
        </is>
      </c>
    </row>
    <row r="31" ht="30" customHeight="1">
      <c r="A31" s="50" t="n">
        <v>18</v>
      </c>
      <c r="B31" s="9" t="inlineStr">
        <is>
          <t>gpu</t>
        </is>
      </c>
      <c r="C31" s="11" t="inlineStr">
        <is>
          <t>Эмбеддинги (BGE-M3, inference) [вариант с GPU]</t>
        </is>
      </c>
      <c r="D31" s="51">
        <f>1*$C$10</f>
        <v/>
      </c>
      <c r="E31" s="51" t="n">
        <v>1</v>
      </c>
      <c r="F31" s="51" t="n">
        <v>4</v>
      </c>
      <c r="G31" s="51" t="n">
        <v>5</v>
      </c>
      <c r="H31" s="51" t="n">
        <v>2</v>
      </c>
      <c r="I31" s="53">
        <f>D31*E31</f>
        <v/>
      </c>
      <c r="J31" s="53">
        <f>D31*F31</f>
        <v/>
      </c>
      <c r="K31" s="53">
        <f>D31*G31</f>
        <v/>
      </c>
      <c r="L31" s="53">
        <f>D31*H31</f>
        <v/>
      </c>
      <c r="M31" s="51">
        <f>1*$C$10</f>
        <v/>
      </c>
      <c r="N31" s="51" t="n">
        <v>1</v>
      </c>
      <c r="O31" s="51" t="n">
        <v>4</v>
      </c>
      <c r="P31" s="51" t="n">
        <v>5</v>
      </c>
      <c r="Q31" s="51" t="n">
        <v>2</v>
      </c>
      <c r="R31" s="53">
        <f>M31*N31</f>
        <v/>
      </c>
      <c r="S31" s="53">
        <f>M31*O31</f>
        <v/>
      </c>
      <c r="T31" s="53">
        <f>M31*P31</f>
        <v/>
      </c>
      <c r="U31" s="53">
        <f>M31*Q31</f>
        <v/>
      </c>
      <c r="V31" s="9" t="inlineStr">
        <is>
          <t>Замер: веса 2,14 ГиБ (fp32; прежние 4,25 ГБ — две копии в кэше). Расчёт: в fp16 ≈1,1 ГиБ + запас — ≈2 ГиБ видеопамяти. Скорость на GPU не измерялась.</t>
        </is>
      </c>
    </row>
    <row r="32" ht="30" customHeight="1">
      <c r="A32" s="50" t="n">
        <v>19</v>
      </c>
      <c r="B32" s="9" t="inlineStr">
        <is>
          <t>gpu</t>
        </is>
      </c>
      <c r="C32" s="11" t="inlineStr">
        <is>
          <t>Реранкер (BGE-reranker-v2-m3, inference) [вариант с GPU]</t>
        </is>
      </c>
      <c r="D32" s="51">
        <f>1*$C$10</f>
        <v/>
      </c>
      <c r="E32" s="51" t="n">
        <v>1</v>
      </c>
      <c r="F32" s="51" t="n">
        <v>3</v>
      </c>
      <c r="G32" s="51" t="n">
        <v>3</v>
      </c>
      <c r="H32" s="51" t="n">
        <v>1.5</v>
      </c>
      <c r="I32" s="53">
        <f>D32*E32</f>
        <v/>
      </c>
      <c r="J32" s="53">
        <f>D32*F32</f>
        <v/>
      </c>
      <c r="K32" s="53">
        <f>D32*G32</f>
        <v/>
      </c>
      <c r="L32" s="53">
        <f>D32*H32</f>
        <v/>
      </c>
      <c r="M32" s="51">
        <f>1*$C$10</f>
        <v/>
      </c>
      <c r="N32" s="51" t="n">
        <v>1</v>
      </c>
      <c r="O32" s="51" t="n">
        <v>3</v>
      </c>
      <c r="P32" s="51" t="n">
        <v>3</v>
      </c>
      <c r="Q32" s="51" t="n">
        <v>1.5</v>
      </c>
      <c r="R32" s="53">
        <f>M32*N32</f>
        <v/>
      </c>
      <c r="S32" s="53">
        <f>M32*O32</f>
        <v/>
      </c>
      <c r="T32" s="53">
        <f>M32*P32</f>
        <v/>
      </c>
      <c r="U32" s="53">
        <f>M32*Q32</f>
        <v/>
      </c>
      <c r="V32" s="9" t="inlineStr">
        <is>
          <t>Замер: веса 2,14 ГиБ (fp32). Расчёт: в fp16 ≈1,1 ГиБ + запас — ≈1,5 ГиБ видеопамяти. Скорость на GPU не измерялась; на CPU 7,2 с на 20 кандидатов.</t>
        </is>
      </c>
    </row>
    <row r="33" ht="30" customHeight="1">
      <c r="A33" s="50" t="n">
        <v>20</v>
      </c>
      <c r="B33" s="9" t="inlineStr">
        <is>
          <t>gpu-llm</t>
        </is>
      </c>
      <c r="C33" s="11" t="inlineStr">
        <is>
          <t>Собственная модель (Qwen2.5-32B INT4, vLLM) — по триггеру</t>
        </is>
      </c>
      <c r="D33" s="51" t="n">
        <v>0</v>
      </c>
      <c r="E33" s="51" t="n">
        <v>8</v>
      </c>
      <c r="F33" s="51" t="n">
        <v>64</v>
      </c>
      <c r="G33" s="51" t="n">
        <v>100</v>
      </c>
      <c r="H33" s="51" t="n">
        <v>0</v>
      </c>
      <c r="I33" s="53">
        <f>D33*E33</f>
        <v/>
      </c>
      <c r="J33" s="53">
        <f>D33*F33</f>
        <v/>
      </c>
      <c r="K33" s="53">
        <f>D33*G33</f>
        <v/>
      </c>
      <c r="L33" s="53">
        <f>D33*H33</f>
        <v/>
      </c>
      <c r="M33" s="51" t="n">
        <v>1</v>
      </c>
      <c r="N33" s="51" t="n">
        <v>8</v>
      </c>
      <c r="O33" s="51" t="n">
        <v>64</v>
      </c>
      <c r="P33" s="51" t="n">
        <v>100</v>
      </c>
      <c r="Q33" s="51" t="n">
        <v>40</v>
      </c>
      <c r="R33" s="53">
        <f>M33*N33</f>
        <v/>
      </c>
      <c r="S33" s="53">
        <f>M33*O33</f>
        <v/>
      </c>
      <c r="T33" s="53">
        <f>M33*P33</f>
        <v/>
      </c>
      <c r="U33" s="53">
        <f>M33*Q33</f>
        <v/>
      </c>
      <c r="V33" s="9" t="inlineStr">
        <is>
          <t>Только на тираже по триггеру. Видеопамять 40 ГБ — допущение (веса INT4 ожидаются 17–20 ГБ, заложено 34 ГБ, плюс кэш); проверка на карте не проводилась.</t>
        </is>
      </c>
    </row>
    <row r="34" ht="45" customHeight="1">
      <c r="A34" s="50" t="n">
        <v>21</v>
      </c>
      <c r="B34" s="9" t="inlineStr">
        <is>
          <t>general</t>
        </is>
      </c>
      <c r="C34" s="11" t="inlineStr">
        <is>
          <t>Эмбеддинги (e5-small на CPU) [вариант без GPU]</t>
        </is>
      </c>
      <c r="D34" s="51">
        <f>2*(1-$C$10)</f>
        <v/>
      </c>
      <c r="E34" s="51" t="n">
        <v>1</v>
      </c>
      <c r="F34" s="51" t="n">
        <v>1.5</v>
      </c>
      <c r="G34" s="51" t="n">
        <v>2</v>
      </c>
      <c r="H34" s="51" t="n">
        <v>0</v>
      </c>
      <c r="I34" s="53">
        <f>D34*E34</f>
        <v/>
      </c>
      <c r="J34" s="53">
        <f>D34*F34</f>
        <v/>
      </c>
      <c r="K34" s="53">
        <f>D34*G34</f>
        <v/>
      </c>
      <c r="L34" s="53">
        <f>D34*H34</f>
        <v/>
      </c>
      <c r="M34" s="51">
        <f>2*(1-$C$10)</f>
        <v/>
      </c>
      <c r="N34" s="51" t="n">
        <v>1</v>
      </c>
      <c r="O34" s="51" t="n">
        <v>1.5</v>
      </c>
      <c r="P34" s="51" t="n">
        <v>2</v>
      </c>
      <c r="Q34" s="51" t="n">
        <v>0</v>
      </c>
      <c r="R34" s="53">
        <f>M34*N34</f>
        <v/>
      </c>
      <c r="S34" s="53">
        <f>M34*O34</f>
        <v/>
      </c>
      <c r="T34" s="53">
        <f>M34*P34</f>
        <v/>
      </c>
      <c r="U34" s="53">
        <f>M34*Q34</f>
        <v/>
      </c>
      <c r="V34" s="9" t="inlineStr">
        <is>
          <t>Замер: e5-small — 36–37 мс на запрос на CPU и +300 МиБ ОЗУ; BGE-M3 на CPU (300 мс) в бюджет 100 мс не укладывается, реранкер на CPU (7,2 с) не годится и выключен. 2 реплики для отказоустойчивости. Только в варианте без GPU.</t>
        </is>
      </c>
    </row>
    <row r="35" ht="45" customHeight="1">
      <c r="A35" s="50" t="n">
        <v>22</v>
      </c>
      <c r="B35" s="9" t="inlineStr">
        <is>
          <t>general</t>
        </is>
      </c>
      <c r="C35" s="11" t="inlineStr">
        <is>
          <t>ETL индексации: эмбеддинги на CPU (CronJob) [вариант без GPU]</t>
        </is>
      </c>
      <c r="D35" s="51">
        <f>1*(1-$C$10)</f>
        <v/>
      </c>
      <c r="E35" s="51" t="n">
        <v>4</v>
      </c>
      <c r="F35" s="51" t="n">
        <v>4</v>
      </c>
      <c r="G35" s="51" t="n">
        <v>5</v>
      </c>
      <c r="H35" s="51" t="n">
        <v>0</v>
      </c>
      <c r="I35" s="53">
        <f>D35*E35</f>
        <v/>
      </c>
      <c r="J35" s="53">
        <f>D35*F35</f>
        <v/>
      </c>
      <c r="K35" s="53">
        <f>D35*G35</f>
        <v/>
      </c>
      <c r="L35" s="53">
        <f>D35*H35</f>
        <v/>
      </c>
      <c r="M35" s="51">
        <f>1*(1-$C$10)</f>
        <v/>
      </c>
      <c r="N35" s="51" t="n">
        <v>4</v>
      </c>
      <c r="O35" s="51" t="n">
        <v>4</v>
      </c>
      <c r="P35" s="51" t="n">
        <v>5</v>
      </c>
      <c r="Q35" s="51" t="n">
        <v>0</v>
      </c>
      <c r="R35" s="53">
        <f>M35*N35</f>
        <v/>
      </c>
      <c r="S35" s="53">
        <f>M35*O35</f>
        <v/>
      </c>
      <c r="T35" s="53">
        <f>M35*P35</f>
        <v/>
      </c>
      <c r="U35" s="53">
        <f>M35*Q35</f>
        <v/>
      </c>
      <c r="V35" s="9" t="inlineStr">
        <is>
          <t>Расчёт по замеру: e5-small ≈27 мс на часть (машина с 12 потоками) → 30–100 тыс. частей ≈14–46 мин; на поде с 4 vCPU время не измерялось и может быть в 2–3 раза больше (окно 3 часа). Только в варианте без GPU.</t>
        </is>
      </c>
    </row>
    <row r="37">
      <c r="C37" s="43" t="inlineStr">
        <is>
          <t>Итог по пулам узлов</t>
        </is>
      </c>
      <c r="P37" s="9" t="inlineStr">
        <is>
          <t>Загрузка узла по запросам, не выше</t>
        </is>
      </c>
      <c r="Q37" s="54" t="n">
        <v>0.7</v>
      </c>
    </row>
    <row r="38">
      <c r="B38" s="5" t="inlineStr">
        <is>
          <t>Пул</t>
        </is>
      </c>
      <c r="C38" s="5" t="inlineStr">
        <is>
          <t>Класс узла</t>
        </is>
      </c>
      <c r="D38" s="5" t="inlineStr">
        <is>
          <t>vCPU узла</t>
        </is>
      </c>
      <c r="E38" s="5" t="inlineStr">
        <is>
          <t>ОЗУ узла, ГиБ</t>
        </is>
      </c>
      <c r="F38" s="5" t="inlineStr">
        <is>
          <t>Видеопамять узла, ГиБ</t>
        </is>
      </c>
      <c r="G38" s="5" t="inlineStr">
        <is>
          <t>Запас на потерю узла (1 — да)</t>
        </is>
      </c>
      <c r="H38" s="5" t="inlineStr">
        <is>
          <t>MVP: vCPU</t>
        </is>
      </c>
      <c r="I38" s="5" t="inlineStr">
        <is>
          <t>MVP: ОЗУ</t>
        </is>
      </c>
      <c r="J38" s="5" t="inlineStr">
        <is>
          <t>MVP: видеопамять</t>
        </is>
      </c>
      <c r="K38" s="5" t="inlineStr">
        <is>
          <t>MVP: узлов</t>
        </is>
      </c>
      <c r="L38" s="5" t="inlineStr">
        <is>
          <t>Тираж: vCPU</t>
        </is>
      </c>
      <c r="M38" s="5" t="inlineStr">
        <is>
          <t>Тираж: ОЗУ</t>
        </is>
      </c>
      <c r="N38" s="5" t="inlineStr">
        <is>
          <t>Тираж: видеопамять</t>
        </is>
      </c>
      <c r="O38" s="5" t="inlineStr">
        <is>
          <t>Тираж: узлов</t>
        </is>
      </c>
    </row>
    <row r="39">
      <c r="B39" s="11" t="inlineStr">
        <is>
          <t>general</t>
        </is>
      </c>
      <c r="C39" s="9" t="inlineStr">
        <is>
          <t>Общий пул (платформа, приложение, наблюдаемость)</t>
        </is>
      </c>
      <c r="D39" s="10" t="n">
        <v>8</v>
      </c>
      <c r="E39" s="10" t="n">
        <v>16</v>
      </c>
      <c r="F39" s="10" t="n">
        <v>0</v>
      </c>
      <c r="G39" s="10" t="n">
        <v>1</v>
      </c>
      <c r="H39" s="55">
        <f>SUMIF($B$14:$B$35,$B39,$I$14:$I$35)</f>
        <v/>
      </c>
      <c r="I39" s="55">
        <f>SUMIF($B$14:$B$35,$B39,$J$14:$J$35)</f>
        <v/>
      </c>
      <c r="J39" s="55">
        <f>SUMIF($B$14:$B$35,$B39,$L$14:$L$35)</f>
        <v/>
      </c>
      <c r="K39" s="56">
        <f>IF(H39=0,0,ROUNDUP(MAX(H39/($Q$37*$D39),I39/($Q$37*$E39),IF($F39&gt;0,J39/($Q$37*$F39),0)),0)+$G39)</f>
        <v/>
      </c>
      <c r="L39" s="55">
        <f>SUMIF($B$14:$B$35,$B39,$R$14:$R$35)</f>
        <v/>
      </c>
      <c r="M39" s="55">
        <f>SUMIF($B$14:$B$35,$B39,$S$14:$S$35)</f>
        <v/>
      </c>
      <c r="N39" s="55">
        <f>SUMIF($B$14:$B$35,$B39,$U$14:$U$35)</f>
        <v/>
      </c>
      <c r="O39" s="56">
        <f>IF(L39=0,0,ROUNDUP(MAX(L39/($Q$37*$D39),M39/($Q$37*$E39),IF($F39&gt;0,N39/($Q$37*$F39),0)),0)+$G39)</f>
        <v/>
      </c>
    </row>
    <row r="40">
      <c r="B40" s="11" t="inlineStr">
        <is>
          <t>data</t>
        </is>
      </c>
      <c r="C40" s="9" t="inlineStr">
        <is>
          <t>Пул данных (NVMe)</t>
        </is>
      </c>
      <c r="D40" s="10" t="n">
        <v>8</v>
      </c>
      <c r="E40" s="10" t="n">
        <v>32</v>
      </c>
      <c r="F40" s="10" t="n">
        <v>0</v>
      </c>
      <c r="G40" s="10" t="n">
        <v>1</v>
      </c>
      <c r="H40" s="55">
        <f>SUMIF($B$14:$B$35,$B40,$I$14:$I$35)</f>
        <v/>
      </c>
      <c r="I40" s="55">
        <f>SUMIF($B$14:$B$35,$B40,$J$14:$J$35)</f>
        <v/>
      </c>
      <c r="J40" s="55">
        <f>SUMIF($B$14:$B$35,$B40,$L$14:$L$35)</f>
        <v/>
      </c>
      <c r="K40" s="56">
        <f>IF(H40=0,0,ROUNDUP(MAX(H40/($Q$37*$D40),I40/($Q$37*$E40),IF($F40&gt;0,J40/($Q$37*$F40),0)),0)+$G40)</f>
        <v/>
      </c>
      <c r="L40" s="55">
        <f>SUMIF($B$14:$B$35,$B40,$R$14:$R$35)</f>
        <v/>
      </c>
      <c r="M40" s="55">
        <f>SUMIF($B$14:$B$35,$B40,$S$14:$S$35)</f>
        <v/>
      </c>
      <c r="N40" s="55">
        <f>SUMIF($B$14:$B$35,$B40,$U$14:$U$35)</f>
        <v/>
      </c>
      <c r="O40" s="56">
        <f>IF(L40=0,0,ROUNDUP(MAX(L40/($Q$37*$D40),M40/($Q$37*$E40),IF($F40&gt;0,N40/($Q$37*$F40),0)),0)+$G40)</f>
        <v/>
      </c>
    </row>
    <row r="41">
      <c r="B41" s="11" t="inlineStr">
        <is>
          <t>gpu</t>
        </is>
      </c>
      <c r="C41" s="9" t="inlineStr">
        <is>
          <t>GPU-пул (эмбеддинги, реранкер)</t>
        </is>
      </c>
      <c r="D41" s="10" t="n">
        <v>8</v>
      </c>
      <c r="E41" s="10" t="n">
        <v>32</v>
      </c>
      <c r="F41" s="10" t="n">
        <v>24</v>
      </c>
      <c r="G41" s="10" t="n">
        <v>0</v>
      </c>
      <c r="H41" s="55">
        <f>SUMIF($B$14:$B$35,$B41,$I$14:$I$35)</f>
        <v/>
      </c>
      <c r="I41" s="55">
        <f>SUMIF($B$14:$B$35,$B41,$J$14:$J$35)</f>
        <v/>
      </c>
      <c r="J41" s="55">
        <f>SUMIF($B$14:$B$35,$B41,$L$14:$L$35)</f>
        <v/>
      </c>
      <c r="K41" s="56">
        <f>IF(H41=0,0,ROUNDUP(MAX(H41/($Q$37*$D41),I41/($Q$37*$E41),IF($F41&gt;0,J41/($Q$37*$F41),0)),0)+$G41)</f>
        <v/>
      </c>
      <c r="L41" s="55">
        <f>SUMIF($B$14:$B$35,$B41,$R$14:$R$35)</f>
        <v/>
      </c>
      <c r="M41" s="55">
        <f>SUMIF($B$14:$B$35,$B41,$S$14:$S$35)</f>
        <v/>
      </c>
      <c r="N41" s="55">
        <f>SUMIF($B$14:$B$35,$B41,$U$14:$U$35)</f>
        <v/>
      </c>
      <c r="O41" s="56">
        <f>IF(L41=0,0,ROUNDUP(MAX(L41/($Q$37*$D41),M41/($Q$37*$E41),IF($F41&gt;0,N41/($Q$37*$F41),0)),0)+$G41)</f>
        <v/>
      </c>
    </row>
    <row r="42">
      <c r="B42" s="11" t="inlineStr">
        <is>
          <t>gpu-llm</t>
        </is>
      </c>
      <c r="C42" s="9" t="inlineStr">
        <is>
          <t>GPU-пул генерации (тираж)</t>
        </is>
      </c>
      <c r="D42" s="10" t="n">
        <v>16</v>
      </c>
      <c r="E42" s="10" t="n">
        <v>128</v>
      </c>
      <c r="F42" s="10" t="n">
        <v>80</v>
      </c>
      <c r="G42" s="10" t="n">
        <v>0</v>
      </c>
      <c r="H42" s="55">
        <f>SUMIF($B$14:$B$35,$B42,$I$14:$I$35)</f>
        <v/>
      </c>
      <c r="I42" s="55">
        <f>SUMIF($B$14:$B$35,$B42,$J$14:$J$35)</f>
        <v/>
      </c>
      <c r="J42" s="55">
        <f>SUMIF($B$14:$B$35,$B42,$L$14:$L$35)</f>
        <v/>
      </c>
      <c r="K42" s="56">
        <f>IF(H42=0,0,ROUNDUP(MAX(H42/($Q$37*$D42),I42/($Q$37*$E42),IF($F42&gt;0,J42/($Q$37*$F42),0)),0)+$G42)</f>
        <v/>
      </c>
      <c r="L42" s="55">
        <f>SUMIF($B$14:$B$35,$B42,$R$14:$R$35)</f>
        <v/>
      </c>
      <c r="M42" s="55">
        <f>SUMIF($B$14:$B$35,$B42,$S$14:$S$35)</f>
        <v/>
      </c>
      <c r="N42" s="55">
        <f>SUMIF($B$14:$B$35,$B42,$U$14:$U$35)</f>
        <v/>
      </c>
      <c r="O42" s="56">
        <f>IF(L42=0,0,ROUNDUP(MAX(L42/($Q$37*$D42),M42/($Q$37*$E42),IF($F42&gt;0,N42/($Q$37*$F42),0)),0)+$G42)</f>
        <v/>
      </c>
    </row>
    <row r="43">
      <c r="B43" s="11" t="inlineStr">
        <is>
          <t>Итого узлов</t>
        </is>
      </c>
      <c r="K43" s="57">
        <f>SUM(K39:K42)</f>
        <v/>
      </c>
      <c r="O43" s="57">
        <f>SUM(O39:O42)</f>
        <v/>
      </c>
    </row>
    <row r="44">
      <c r="B44" s="11" t="inlineStr">
        <is>
          <t>Диск под тома, ГиБ</t>
        </is>
      </c>
      <c r="K44" s="58">
        <f>SUM($K$14:$K$35)</f>
        <v/>
      </c>
      <c r="O44" s="58">
        <f>SUM($T$14:$T$35)</f>
        <v/>
      </c>
    </row>
    <row r="46">
      <c r="B46" s="33" t="inlineStr">
        <is>
          <t>Не покрыто: скорость моделей на GPU (видеопамять и время индексации — допущения); стоимость серверов и обслуживания; системные поды Kubernetes (≈1 vCPU и 2 ГиБ на узел); управляющая часть Kubernetes размещена на трёх узлах общего пула (допущение); нагрузочный тест не проводился.</t>
        </is>
      </c>
    </row>
  </sheetData>
  <mergeCells count="9">
    <mergeCell ref="C4:U4"/>
    <mergeCell ref="M12:U12"/>
    <mergeCell ref="C5:U5"/>
    <mergeCell ref="C8:U8"/>
    <mergeCell ref="C9:U9"/>
    <mergeCell ref="C3:U3"/>
    <mergeCell ref="C7:U7"/>
    <mergeCell ref="D12:L12"/>
    <mergeCell ref="C6:U6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0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32" t="inlineStr">
        <is>
          <t>Прогноз нагрузки и стоимости токенов — минимум и максимум</t>
        </is>
      </c>
    </row>
    <row r="2" ht="34" customHeight="1">
      <c r="A2" s="49" t="inlineStr">
        <is>
          <t>Синие ячейки — входные допущения: после получения данных по обращениям подставьте новые значения, нагрузка и стоимость пересчитаются. Тариф — публичный тариф YandexGPT Pro из ADR-500, не проверялся; тариф GigaChat Pro неизвестен. Цен на серверы и GPU нет.</t>
        </is>
      </c>
    </row>
    <row r="4">
      <c r="A4" s="5" t="inlineStr">
        <is>
          <t>№</t>
        </is>
      </c>
      <c r="B4" s="5" t="inlineStr">
        <is>
          <t>Входное допущение</t>
        </is>
      </c>
      <c r="C4" s="5" t="inlineStr">
        <is>
          <t>Минимум</t>
        </is>
      </c>
      <c r="D4" s="5" t="inlineStr">
        <is>
          <t>Максимум</t>
        </is>
      </c>
      <c r="E4" s="5" t="inlineStr"/>
      <c r="F4" s="5" t="inlineStr"/>
      <c r="G4" s="5" t="inlineStr">
        <is>
          <t>Откуда взято / чем подтвердить</t>
        </is>
      </c>
    </row>
    <row r="5" ht="30" customHeight="1">
      <c r="A5" s="56" t="inlineStr">
        <is>
          <t>A1</t>
        </is>
      </c>
      <c r="B5" s="9" t="inlineStr">
        <is>
          <t>Доля абонентов, пришедших в чат хотя бы раз в месяц</t>
        </is>
      </c>
      <c r="C5" s="54" t="n">
        <v>0.07000000000000001</v>
      </c>
      <c r="D5" s="54" t="n">
        <v>0.35</v>
      </c>
      <c r="G5" s="9" t="inlineStr">
        <is>
          <t>70% абонентов обращаются раз в месяц (ADR-500) × доля визитов через чат 10–50%. Не все абоненты пойдут в диалог. Подтвердить: Статистика посещаемости личного кабинета и доля, доходящая до чата</t>
        </is>
      </c>
    </row>
    <row r="6" ht="30" customHeight="1">
      <c r="A6" s="56" t="inlineStr">
        <is>
          <t>A2</t>
        </is>
      </c>
      <c r="B6" s="9" t="inlineStr">
        <is>
          <t>Диалогов на такого абонента в месяц</t>
        </is>
      </c>
      <c r="C6" s="59" t="n">
        <v>1</v>
      </c>
      <c r="D6" s="59" t="n">
        <v>2.5</v>
      </c>
      <c r="G6" s="9" t="inlineStr">
        <is>
          <t>Взято из прежнего отчёта (низкий и высокий сценарии). Подтвердить: Частота обращений в колл-центр на абонента</t>
        </is>
      </c>
    </row>
    <row r="7" ht="30" customHeight="1">
      <c r="A7" s="56" t="inlineStr">
        <is>
          <t>A3</t>
        </is>
      </c>
      <c r="B7" s="9" t="inlineStr">
        <is>
          <t>Вопросов внутри одного диалога</t>
        </is>
      </c>
      <c r="C7" s="59" t="n">
        <v>3</v>
      </c>
      <c r="D7" s="59" t="n">
        <v>6</v>
      </c>
      <c r="G7" s="9" t="inlineStr">
        <is>
          <t>3 вопроса за визит (ADR-500) и верхняя оценка прежнего отчёта. Подтвердить: Анализ живых обращений и пилот</t>
        </is>
      </c>
    </row>
    <row r="8" ht="30" customHeight="1">
      <c r="A8" s="56" t="inlineStr">
        <is>
          <t>P</t>
        </is>
      </c>
      <c r="B8" s="9" t="inlineStr">
        <is>
          <t>Доля вопросов, доходящих до модели</t>
        </is>
      </c>
      <c r="C8" s="54" t="n">
        <v>0.3</v>
      </c>
      <c r="D8" s="54" t="n">
        <v>0.7</v>
      </c>
      <c r="G8" s="9" t="inlineStr">
        <is>
          <t>Замер на двух наборах живых текстов: 30% (регистр обращений по телефону и почте) и 70% (форма вопросов Golden Set). Остальные закрывают правила и ответы без модели. Подтвердить: Анализ живых обращений (ADR-600)</t>
        </is>
      </c>
    </row>
    <row r="9" ht="30" customHeight="1">
      <c r="A9" s="56" t="inlineStr">
        <is>
          <t>T</t>
        </is>
      </c>
      <c r="B9" s="9" t="inlineStr">
        <is>
          <t>Токенов на запрос к модели (вход + выход)</t>
        </is>
      </c>
      <c r="C9" s="59" t="n">
        <v>401</v>
      </c>
      <c r="D9" s="59" t="n">
        <v>3500</v>
      </c>
      <c r="G9" s="9" t="inlineStr">
        <is>
          <t>Минимум — замер по 19 вызовам YandexGPT (короткие фрагменты FAQ). Максимум — допущение прежнего отчёта: система + 3 фрагмента по ≈800 токенов. Подтвердить: Пилот на базе из нескольких тысяч документов</t>
        </is>
      </c>
    </row>
    <row r="10" ht="30" customHeight="1">
      <c r="A10" s="56" t="inlineStr">
        <is>
          <t>A4</t>
        </is>
      </c>
      <c r="B10" s="9" t="inlineStr">
        <is>
          <t>Доля суточных запросов в пиковый час</t>
        </is>
      </c>
      <c r="C10" s="54" t="n">
        <v>0.15</v>
      </c>
      <c r="D10" s="54" t="n">
        <v>0.15</v>
      </c>
      <c r="G10" s="9" t="inlineStr">
        <is>
          <t>Допущение прежнего отчёта; профиль ЖКХ (дни начисления и оплаты). Подтвердить: Статистика ЛК</t>
        </is>
      </c>
    </row>
    <row r="11" ht="30" customHeight="1">
      <c r="A11" s="56" t="inlineStr">
        <is>
          <t>W</t>
        </is>
      </c>
      <c r="B11" s="9" t="inlineStr">
        <is>
          <t>Время ответа, с</t>
        </is>
      </c>
      <c r="C11" s="59" t="n">
        <v>3</v>
      </c>
      <c r="D11" s="59" t="n">
        <v>3</v>
      </c>
      <c r="G11" s="9" t="inlineStr">
        <is>
          <t>Целевое значение (DoD). Подтвердить: —</t>
        </is>
      </c>
    </row>
    <row r="12" ht="30" customHeight="1">
      <c r="A12" s="56" t="inlineStr">
        <is>
          <t>G</t>
        </is>
      </c>
      <c r="B12" s="9" t="inlineStr">
        <is>
          <t>Вопросов в эталонном наборе для судьи</t>
        </is>
      </c>
      <c r="C12" s="59" t="n">
        <v>30</v>
      </c>
      <c r="D12" s="59" t="n">
        <v>30</v>
      </c>
      <c r="G12" s="9" t="inlineStr">
        <is>
          <t>Замер: `golden_set/quality.json`, 30 вопросов. Подтвердить: —</t>
        </is>
      </c>
    </row>
    <row r="13" ht="30" customHeight="1">
      <c r="A13" s="56" t="inlineStr">
        <is>
          <t>R</t>
        </is>
      </c>
      <c r="B13" s="9" t="inlineStr">
        <is>
          <t>Прогонов эталонного набора в месяц</t>
        </is>
      </c>
      <c r="C13" s="59" t="n">
        <v>4.3</v>
      </c>
      <c r="D13" s="59" t="n">
        <v>30</v>
      </c>
      <c r="G13" s="9" t="inlineStr">
        <is>
          <t>Минимум — раз в неделю, максимум — каждую ночь. Подтвердить: Решение команды</t>
        </is>
      </c>
    </row>
    <row r="14" ht="30" customHeight="1">
      <c r="A14" s="56" t="inlineStr">
        <is>
          <t>C</t>
        </is>
      </c>
      <c r="B14" s="9" t="inlineStr">
        <is>
          <t>Вызовов судьи на образец</t>
        </is>
      </c>
      <c r="C14" s="59" t="n">
        <v>5</v>
      </c>
      <c r="D14" s="59" t="n">
        <v>5</v>
      </c>
      <c r="G14" s="9" t="inlineStr">
        <is>
          <t>Допущение прежнего отчёта, не измерено. Подтвердить: Первый прогон с провайдером</t>
        </is>
      </c>
    </row>
    <row r="15" ht="30" customHeight="1">
      <c r="A15" s="56" t="inlineStr">
        <is>
          <t>J</t>
        </is>
      </c>
      <c r="B15" s="9" t="inlineStr">
        <is>
          <t>Токенов на вызов судьи</t>
        </is>
      </c>
      <c r="C15" s="59" t="n">
        <v>2000</v>
      </c>
      <c r="D15" s="59" t="n">
        <v>2000</v>
      </c>
      <c r="G15" s="9" t="inlineStr">
        <is>
          <t>Допущение прежнего отчёта, не измерено. Подтвердить: Первый прогон с провайдером</t>
        </is>
      </c>
    </row>
    <row r="16" ht="30" customHeight="1">
      <c r="A16" s="56" t="inlineStr">
        <is>
          <t>S_</t>
        </is>
      </c>
      <c r="B16" s="9" t="inlineStr">
        <is>
          <t>Доля ответов, оцениваемых судьёй в проде</t>
        </is>
      </c>
      <c r="C16" s="54" t="n">
        <v>0.01</v>
      </c>
      <c r="D16" s="54" t="n">
        <v>0.05</v>
      </c>
      <c r="G16" s="9" t="inlineStr">
        <is>
          <t>Допущение: 1–5% выборка трафика. Подтвердить: Решение команды</t>
        </is>
      </c>
    </row>
    <row r="17" ht="30" customHeight="1">
      <c r="A17" s="56" t="inlineStr">
        <is>
          <t>A6</t>
        </is>
      </c>
      <c r="B17" s="9" t="inlineStr">
        <is>
          <t>Доля диалогов с записью (Этап 2)</t>
        </is>
      </c>
      <c r="C17" s="54" t="n">
        <v>0.15</v>
      </c>
      <c r="D17" s="54" t="n">
        <v>0.4</v>
      </c>
      <c r="G17" s="9" t="inlineStr">
        <is>
          <t>Прежний отчёт: 15–40%. Подтвердить: Разметка обращений и пилот</t>
        </is>
      </c>
    </row>
    <row r="18" ht="30" customHeight="1">
      <c r="A18" s="56" t="inlineStr">
        <is>
          <t>A8</t>
        </is>
      </c>
      <c r="B18" s="9" t="inlineStr">
        <is>
          <t>Токенов на диалог с записью сверх обычных (Этап 2)</t>
        </is>
      </c>
      <c r="C18" s="59" t="n">
        <v>6000</v>
      </c>
      <c r="D18" s="59" t="n">
        <v>20000</v>
      </c>
      <c r="G18" s="9" t="inlineStr">
        <is>
          <t>Прежний отчёт: 6 000–20 000. Подтвердить: Замер на пилоте</t>
        </is>
      </c>
    </row>
    <row r="19">
      <c r="B19" s="11" t="inlineStr">
        <is>
          <t>Тариф, ₽ за 1000 токенов</t>
        </is>
      </c>
      <c r="C19" s="60" t="n">
        <v>0.8</v>
      </c>
    </row>
    <row r="20">
      <c r="B20" s="11" t="inlineStr">
        <is>
          <t>Абонентов, MVP</t>
        </is>
      </c>
      <c r="C20" s="61" t="n">
        <v>8000</v>
      </c>
    </row>
    <row r="21">
      <c r="B21" s="11" t="inlineStr">
        <is>
          <t>Абонентов, тираж</t>
        </is>
      </c>
      <c r="C21" s="61" t="n">
        <v>90000</v>
      </c>
    </row>
    <row r="23">
      <c r="B23" s="5" t="inlineStr">
        <is>
          <t>Показатель</t>
        </is>
      </c>
      <c r="C23" s="5" t="inlineStr">
        <is>
          <t>MVP, минимум</t>
        </is>
      </c>
      <c r="D23" s="5" t="inlineStr">
        <is>
          <t>MVP, максимум</t>
        </is>
      </c>
      <c r="E23" s="5" t="inlineStr">
        <is>
          <t>Тираж, минимум</t>
        </is>
      </c>
      <c r="F23" s="5" t="inlineStr">
        <is>
          <t>Тираж, максимум</t>
        </is>
      </c>
    </row>
    <row r="24">
      <c r="B24" s="9" t="inlineStr">
        <is>
          <t>Пришло в чат за месяц, человек</t>
        </is>
      </c>
      <c r="C24" s="42">
        <f>$C$20*C5</f>
        <v/>
      </c>
      <c r="D24" s="42">
        <f>$C$20*D5</f>
        <v/>
      </c>
      <c r="E24" s="42">
        <f>$C$21*C5</f>
        <v/>
      </c>
      <c r="F24" s="42">
        <f>$C$21*D5</f>
        <v/>
      </c>
    </row>
    <row r="25">
      <c r="B25" s="9" t="inlineStr">
        <is>
          <t>Диалогов в месяц</t>
        </is>
      </c>
      <c r="C25" s="42">
        <f>C24*C6</f>
        <v/>
      </c>
      <c r="D25" s="42">
        <f>D24*D6</f>
        <v/>
      </c>
      <c r="E25" s="42">
        <f>E24*C6</f>
        <v/>
      </c>
      <c r="F25" s="42">
        <f>F24*D6</f>
        <v/>
      </c>
    </row>
    <row r="26">
      <c r="B26" s="9" t="inlineStr">
        <is>
          <t>Вопросов в месяц</t>
        </is>
      </c>
      <c r="C26" s="42">
        <f>C25*C7</f>
        <v/>
      </c>
      <c r="D26" s="42">
        <f>D25*D7</f>
        <v/>
      </c>
      <c r="E26" s="42">
        <f>E25*C7</f>
        <v/>
      </c>
      <c r="F26" s="42">
        <f>F25*D7</f>
        <v/>
      </c>
    </row>
    <row r="27">
      <c r="B27" s="9" t="inlineStr">
        <is>
          <t>Запросов к модели в месяц</t>
        </is>
      </c>
      <c r="C27" s="42">
        <f>C26*C8</f>
        <v/>
      </c>
      <c r="D27" s="42">
        <f>D26*D8</f>
        <v/>
      </c>
      <c r="E27" s="42">
        <f>E26*C8</f>
        <v/>
      </c>
      <c r="F27" s="42">
        <f>F26*D8</f>
        <v/>
      </c>
    </row>
    <row r="28">
      <c r="B28" s="9" t="inlineStr">
        <is>
          <t>Токенов генерации в месяц</t>
        </is>
      </c>
      <c r="C28" s="42">
        <f>C27*C9</f>
        <v/>
      </c>
      <c r="D28" s="42">
        <f>D27*D9</f>
        <v/>
      </c>
      <c r="E28" s="42">
        <f>E27*C9</f>
        <v/>
      </c>
      <c r="F28" s="42">
        <f>F27*D9</f>
        <v/>
      </c>
    </row>
    <row r="29">
      <c r="B29" s="9" t="inlineStr">
        <is>
          <t>Токенов судьи в месяц (эталонный набор + выборка трафика)</t>
        </is>
      </c>
      <c r="C29" s="42">
        <f>C12*C13*C14*C15+C27*C16*C14*C15</f>
        <v/>
      </c>
      <c r="D29" s="42">
        <f>D12*D13*D14*D15+D27*D16*D14*D15</f>
        <v/>
      </c>
      <c r="E29" s="42">
        <f>C12*C13*C14*C15+E27*C16*C14*C15</f>
        <v/>
      </c>
      <c r="F29" s="42">
        <f>D12*D13*D14*D15+F27*D16*D14*D15</f>
        <v/>
      </c>
    </row>
    <row r="30">
      <c r="B30" s="9" t="inlineStr">
        <is>
          <t>Генерация, ₽ в месяц</t>
        </is>
      </c>
      <c r="C30" s="42">
        <f>C28*$C$19/1000</f>
        <v/>
      </c>
      <c r="D30" s="42">
        <f>D28*$C$19/1000</f>
        <v/>
      </c>
      <c r="E30" s="42">
        <f>E28*$C$19/1000</f>
        <v/>
      </c>
      <c r="F30" s="42">
        <f>F28*$C$19/1000</f>
        <v/>
      </c>
    </row>
    <row r="31">
      <c r="B31" s="9" t="inlineStr">
        <is>
          <t>Судья качества, ₽ в месяц</t>
        </is>
      </c>
      <c r="C31" s="42">
        <f>C29*$C$19/1000</f>
        <v/>
      </c>
      <c r="D31" s="42">
        <f>D29*$C$19/1000</f>
        <v/>
      </c>
      <c r="E31" s="42">
        <f>E29*$C$19/1000</f>
        <v/>
      </c>
      <c r="F31" s="42">
        <f>F29*$C$19/1000</f>
        <v/>
      </c>
    </row>
    <row r="32">
      <c r="B32" s="11" t="inlineStr">
        <is>
          <t>Итого токены, ₽ в месяц</t>
        </is>
      </c>
      <c r="C32" s="62">
        <f>C30+C31</f>
        <v/>
      </c>
      <c r="D32" s="62">
        <f>D30+D31</f>
        <v/>
      </c>
      <c r="E32" s="62">
        <f>E30+E31</f>
        <v/>
      </c>
      <c r="F32" s="62">
        <f>F30+F31</f>
        <v/>
      </c>
    </row>
    <row r="33">
      <c r="B33" s="11" t="inlineStr">
        <is>
          <t>Итого токены, ₽ в год</t>
        </is>
      </c>
      <c r="C33" s="62">
        <f>C32*12</f>
        <v/>
      </c>
      <c r="D33" s="62">
        <f>D32*12</f>
        <v/>
      </c>
      <c r="E33" s="62">
        <f>E32*12</f>
        <v/>
      </c>
      <c r="F33" s="62">
        <f>F32*12</f>
        <v/>
      </c>
    </row>
    <row r="34">
      <c r="B34" s="9" t="inlineStr">
        <is>
          <t>Справочно: агент Этапа 2 добавит, ₽ в месяц</t>
        </is>
      </c>
      <c r="C34" s="42">
        <f>C25*C17*C18*$C$19/1000</f>
        <v/>
      </c>
      <c r="D34" s="42">
        <f>D25*D17*D18*$C$19/1000</f>
        <v/>
      </c>
      <c r="E34" s="42">
        <f>E25*C17*C18*$C$19/1000</f>
        <v/>
      </c>
      <c r="F34" s="42">
        <f>F25*D17*D18*$C$19/1000</f>
        <v/>
      </c>
    </row>
    <row r="35">
      <c r="B35" s="9" t="inlineStr">
        <is>
          <t>Пик, вопросов в секунду</t>
        </is>
      </c>
      <c r="C35" s="63">
        <f>C26/30*C10/3600</f>
        <v/>
      </c>
      <c r="D35" s="63">
        <f>D26/30*D10/3600</f>
        <v/>
      </c>
      <c r="E35" s="63">
        <f>E26/30*C10/3600</f>
        <v/>
      </c>
      <c r="F35" s="63">
        <f>F26/30*D10/3600</f>
        <v/>
      </c>
    </row>
    <row r="36">
      <c r="B36" s="9" t="inlineStr">
        <is>
          <t>Одновременно обрабатывается</t>
        </is>
      </c>
      <c r="C36" s="63">
        <f>C35*C11</f>
        <v/>
      </c>
      <c r="D36" s="63">
        <f>D35*D11</f>
        <v/>
      </c>
      <c r="E36" s="63">
        <f>E35*C11</f>
        <v/>
      </c>
      <c r="F36" s="63">
        <f>F35*D11</f>
        <v/>
      </c>
    </row>
    <row r="38">
      <c r="B38" s="9" t="inlineStr">
        <is>
          <t>Расчётная нагрузка sizing: 0,1 запроса/с на MVP и 1 запрос/с на тираже; должна быть не ниже строки «Пик».</t>
        </is>
      </c>
    </row>
  </sheetData>
  <mergeCells count="1">
    <mergeCell ref="A2:G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2026-09-24T18:14:50Z</dcterms:created>
  <dcterms:modified xmlns:dcterms="http://purl.org/dc/terms/" xmlns:xsi="http://www.w3.org/2001/XMLSchema-instance" xsi:type="dcterms:W3CDTF">2026-09-24T18:14:50Z</dcterms:modified>
</cp:coreProperties>
</file>