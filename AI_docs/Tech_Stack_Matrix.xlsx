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Kubernetes Secret (GitLab CI variables).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как настроено шифрование Kubernetes Secrets и права на них, есть ли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17 компонентов, секреты (Kubernetes Secret из GitLab CI variables). Расчёт по допущениям (лист «Sizing», базовый вариант без GPU): 6 узлов на MVP (4 общих и 2 данных),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шифрование Secrets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(необязательный локальный вариант); MVP — GitLab CI variables, Kubernetes Secret</t>
        </is>
      </c>
      <c r="F23" s="9" t="inlineStr">
        <is>
          <t>Переменные окружения оболочки, `.env` приложение не читает; через `docker compose` передаются в контейнер. Vault в dev-режиме — необязательный локальный вариант.</t>
        </is>
      </c>
      <c r="G23" s="9" t="inlineStr">
        <is>
          <t>Целевой механизм (решение заказчика проекта, 24.09.2026): GitLab CI variables (masked, protected) + деплой через pipeline → Kubernetes Secret. Сравнение (ADR-200, «Секреты в проде: GitLab CI variables и альтернативы»; по документации, без проверки на стенде владельца): Vault Agent Injector — есть аудит чтения, аренда и замена без пересборки, но нужна новая система (отказоустойчивость, разблокировка, резервные копии) и sidecar в каждом поде; External Secrets Operator или Vault CSI — то же плюс оператор; SOPS или Sealed Secrets — шифрованные секреты в Git, без аудита чтения; Kubernetes Secret вручную — без повторяемости и журнала. Файл `.env` на диске отклонён: секрет в открытом виде лишний, когда есть переменные окружения.</t>
        </is>
      </c>
      <c r="H23" s="9" t="inlineStr">
        <is>
          <t>ADR-200, раздел «Секреты и конфигурация» и подраздел «Секреты в проде: GitLab CI variables и альтернативы»; ADR-400 («Что добавляется в контуре MVP»)</t>
        </is>
      </c>
      <c r="I23" s="9" t="inlineStr">
        <is>
          <t>Нет аудита чтения; значения видны ролям проекта GitLab с правом их читать (по документации Maintainer и выше); шифрование etcd в кластере неизвестно; замена секрета требует деплоя и перезапуска подов; маскирование в логах ограничено по формату значения. Настройки GitLab владельца, права на переменные и версия не проверялись. Прежний выбор Vault Agent Injector отменён как не обоснованный сравнением.</t>
        </is>
      </c>
      <c r="J23" s="9" t="inlineStr">
        <is>
          <t>Переменные проекта GitLab CI (masked, protected, по окружениям); job деплоя создаёт Kubernetes Secret без вывода значений в лог; подключение в поды через secretKeyRef или envFrom (изменений кода нет); регламент замены секрета; проверка, что значения не попадают в лог pipeline, образ и манифесты.</t>
        </is>
      </c>
      <c r="K23" s="9" t="inlineStr">
        <is>
          <t>GitLab CI/CD variables (masked, protected), pipeline деплоя, Kubernetes Secret; версия и редакция GitLab владельца неизвестны.</t>
        </is>
      </c>
      <c r="L23" s="9" t="inlineStr">
        <is>
          <t>Ничего нового не ставится и не эксплуатируется: GitLab уже используется (со слов); приложение читает переменные окружения, как на прототипе. Vault — вариант по условиям пересмотра: аудит чтения, динамические секреты, замена без перезапуска (ADR-400).</t>
        </is>
      </c>
      <c r="M23" s="12" t="n">
        <v>2</v>
      </c>
      <c r="N23" s="12" t="n">
        <v>3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0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6 узлов (4 общих 8 vCPU/16 ГиБ, 2 данных 8 vCPU/32 ГиБ), тираж — 7 (+1 узел под собственную модель с A100 80 ГБ). Вариант с GPU-узлом: 6 и 8 узлов (3 общих, 2 данных, 1 GPU; на тираже ещё узел под модель). Диск под тома ≈171 ГиБ на MVP и ≈662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(GitLab CI variables, Kubernetes Secret)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showGridLines="0" workbookViewId="0">
      <pane xSplit="3" ySplit="14" topLeftCell="D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Секреты</t>
        </is>
      </c>
      <c r="C8" s="9" t="inlineStr">
        <is>
          <t>Vault в расчёт не входит: целевой механизм — GitLab CI variables и Kubernetes Secret, отдельных подов нет (ADR-400). Если владелец выберет Vault, понадобится под Vault (допущение: 0,25 vCPU, 0,25 ГиБ, диск 1 ГиБ) и инжектор секретов.</t>
        </is>
      </c>
    </row>
    <row r="9" ht="32" customHeight="1">
      <c r="B9" s="11" t="inlineStr">
        <is>
          <t>GPU в кластере</t>
        </is>
      </c>
      <c r="C9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10" ht="32" customHeight="1">
      <c r="B10" s="11" t="inlineStr">
        <is>
          <t>Узлы</t>
        </is>
      </c>
      <c r="C10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1">
      <c r="B11" s="11" t="inlineStr">
        <is>
          <t>GPU-узел в кластере (1 — есть, 0 — нет)</t>
        </is>
      </c>
      <c r="C11" s="51" t="n">
        <v>0</v>
      </c>
    </row>
    <row r="13">
      <c r="D13" s="52" t="inlineStr">
        <is>
          <t>MVP</t>
        </is>
      </c>
      <c r="M13" s="52" t="inlineStr">
        <is>
          <t>Тираж</t>
        </is>
      </c>
    </row>
    <row r="14">
      <c r="A14" s="5" t="inlineStr">
        <is>
          <t>№</t>
        </is>
      </c>
      <c r="B14" s="5" t="inlineStr">
        <is>
          <t>Пул</t>
        </is>
      </c>
      <c r="C14" s="5" t="inlineStr">
        <is>
          <t>Компонент</t>
        </is>
      </c>
      <c r="D14" s="5" t="inlineStr">
        <is>
          <t>Реплик</t>
        </is>
      </c>
      <c r="E14" s="5" t="inlineStr">
        <is>
          <t>vCPU на под</t>
        </is>
      </c>
      <c r="F14" s="5" t="inlineStr">
        <is>
          <t>ОЗУ, ГиБ на под</t>
        </is>
      </c>
      <c r="G14" s="5" t="inlineStr">
        <is>
          <t>Диск, ГиБ на под</t>
        </is>
      </c>
      <c r="H14" s="5" t="inlineStr">
        <is>
          <t>Видеопамять, ГиБ на под</t>
        </is>
      </c>
      <c r="I14" s="5" t="inlineStr">
        <is>
          <t>vCPU всего</t>
        </is>
      </c>
      <c r="J14" s="5" t="inlineStr">
        <is>
          <t>ОЗУ всего, ГиБ</t>
        </is>
      </c>
      <c r="K14" s="5" t="inlineStr">
        <is>
          <t>Диск всего, ГиБ</t>
        </is>
      </c>
      <c r="L14" s="5" t="inlineStr">
        <is>
          <t>Видеопамять всего, ГиБ</t>
        </is>
      </c>
      <c r="M14" s="5" t="inlineStr">
        <is>
          <t>Реплик</t>
        </is>
      </c>
      <c r="N14" s="5" t="inlineStr">
        <is>
          <t>vCPU на под</t>
        </is>
      </c>
      <c r="O14" s="5" t="inlineStr">
        <is>
          <t>ОЗУ, ГиБ на под</t>
        </is>
      </c>
      <c r="P14" s="5" t="inlineStr">
        <is>
          <t>Диск, ГиБ на под</t>
        </is>
      </c>
      <c r="Q14" s="5" t="inlineStr">
        <is>
          <t>Видеопамять, ГиБ на под</t>
        </is>
      </c>
      <c r="R14" s="5" t="inlineStr">
        <is>
          <t>vCPU всего</t>
        </is>
      </c>
      <c r="S14" s="5" t="inlineStr">
        <is>
          <t>ОЗУ всего, ГиБ</t>
        </is>
      </c>
      <c r="T14" s="5" t="inlineStr">
        <is>
          <t>Диск всего, ГиБ</t>
        </is>
      </c>
      <c r="U14" s="5" t="inlineStr">
        <is>
          <t>Видеопамять всего, ГиБ</t>
        </is>
      </c>
      <c r="V14" s="5" t="inlineStr">
        <is>
          <t>Основание</t>
        </is>
      </c>
    </row>
    <row r="15" ht="30" customHeight="1">
      <c r="A15" s="50" t="n">
        <v>1</v>
      </c>
      <c r="B15" s="9" t="inlineStr">
        <is>
          <t>general</t>
        </is>
      </c>
      <c r="C15" s="11" t="inlineStr">
        <is>
          <t>Ingress (nginx)</t>
        </is>
      </c>
      <c r="D15" s="51" t="n">
        <v>2</v>
      </c>
      <c r="E15" s="51" t="n">
        <v>0.25</v>
      </c>
      <c r="F15" s="51" t="n">
        <v>0.25</v>
      </c>
      <c r="G15" s="51" t="n">
        <v>0</v>
      </c>
      <c r="H15" s="51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1" t="n">
        <v>2</v>
      </c>
      <c r="N15" s="51" t="n">
        <v>0.25</v>
      </c>
      <c r="O15" s="51" t="n">
        <v>0.25</v>
      </c>
      <c r="P15" s="51" t="n">
        <v>0</v>
      </c>
      <c r="Q15" s="51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Допущение. Внешний трафик — единицы запросов в секунду.</t>
        </is>
      </c>
    </row>
    <row r="16" ht="30" customHeight="1">
      <c r="A16" s="50" t="n">
        <v>2</v>
      </c>
      <c r="B16" s="9" t="inlineStr">
        <is>
          <t>general</t>
        </is>
      </c>
      <c r="C16" s="11" t="inlineStr">
        <is>
          <t>AI-виджет (статические файлы)</t>
        </is>
      </c>
      <c r="D16" s="51" t="n">
        <v>2</v>
      </c>
      <c r="E16" s="51" t="n">
        <v>0.1</v>
      </c>
      <c r="F16" s="51" t="n">
        <v>0.1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0.1</v>
      </c>
      <c r="O16" s="51" t="n">
        <v>0.1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На стенде три статических файла.</t>
        </is>
      </c>
    </row>
    <row r="17" ht="30" customHeight="1">
      <c r="A17" s="50" t="n">
        <v>3</v>
      </c>
      <c r="B17" s="9" t="inlineStr">
        <is>
          <t>general</t>
        </is>
      </c>
      <c r="C17" s="11" t="inlineStr">
        <is>
          <t>Backend (API, классификация, поиск, сборка ответа)</t>
        </is>
      </c>
      <c r="D17" s="51" t="n">
        <v>2</v>
      </c>
      <c r="E17" s="51" t="n">
        <v>0.5</v>
      </c>
      <c r="F17" s="51" t="n">
        <v>0.5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3</v>
      </c>
      <c r="N17" s="51" t="n">
        <v>1</v>
      </c>
      <c r="O17" s="51" t="n">
        <v>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8" ht="45" customHeight="1">
      <c r="A18" s="50" t="n">
        <v>4</v>
      </c>
      <c r="B18" s="9" t="inlineStr">
        <is>
          <t>general</t>
        </is>
      </c>
      <c r="C18" s="11" t="inlineStr">
        <is>
          <t>LLM Gateway (лимиты, обезличивание, проверка ответа)</t>
        </is>
      </c>
      <c r="D18" s="51" t="n">
        <v>2</v>
      </c>
      <c r="E18" s="51" t="n">
        <v>0.5</v>
      </c>
      <c r="F18" s="51" t="n">
        <v>1.5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1.5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9" ht="30" customHeight="1">
      <c r="A19" s="50" t="n">
        <v>5</v>
      </c>
      <c r="B19" s="9" t="inlineStr">
        <is>
          <t>general</t>
        </is>
      </c>
      <c r="C19" s="11" t="inlineStr">
        <is>
          <t>Billing Adapter, оркестратор записи (Этап 2)</t>
        </is>
      </c>
      <c r="D19" s="51" t="n">
        <v>2</v>
      </c>
      <c r="E19" s="51" t="n">
        <v>0.25</v>
      </c>
      <c r="F19" s="51" t="n">
        <v>0.25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2</v>
      </c>
      <c r="N19" s="51" t="n">
        <v>0.25</v>
      </c>
      <c r="O19" s="51" t="n">
        <v>0.25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0" ht="30" customHeight="1">
      <c r="A20" s="50" t="n">
        <v>6</v>
      </c>
      <c r="B20" s="9" t="inlineStr">
        <is>
          <t>general</t>
        </is>
      </c>
      <c r="C20" s="11" t="inlineStr">
        <is>
          <t>Document Generator (PDF, Этап 2)</t>
        </is>
      </c>
      <c r="D20" s="51" t="n">
        <v>1</v>
      </c>
      <c r="E20" s="51" t="n">
        <v>0.5</v>
      </c>
      <c r="F20" s="51" t="n">
        <v>1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0.5</v>
      </c>
      <c r="O20" s="51" t="n">
        <v>1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Библиотека PDF не выбрана; ≈1 бланк на диалог с записью (до 31 500 в месяц на тираже).</t>
        </is>
      </c>
    </row>
    <row r="21" ht="30" customHeight="1">
      <c r="A21" s="50" t="n">
        <v>7</v>
      </c>
      <c r="B21" s="9" t="inlineStr">
        <is>
          <t>general</t>
        </is>
      </c>
      <c r="C21" s="11" t="inlineStr">
        <is>
          <t>ETL индексации (CronJob, окно 02:00–05:00) [вариант с GPU]</t>
        </is>
      </c>
      <c r="D21" s="51">
        <f>1*$C$11</f>
        <v/>
      </c>
      <c r="E21" s="51" t="n">
        <v>1</v>
      </c>
      <c r="F21" s="51" t="n">
        <v>2</v>
      </c>
      <c r="G21" s="51" t="n">
        <v>5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>
        <f>1*$C$11</f>
        <v/>
      </c>
      <c r="N21" s="51" t="n">
        <v>1</v>
      </c>
      <c r="O21" s="51" t="n">
        <v>2</v>
      </c>
      <c r="P21" s="51" t="n">
        <v>5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2" ht="30" customHeight="1">
      <c r="A22" s="50" t="n">
        <v>8</v>
      </c>
      <c r="B22" s="9" t="inlineStr">
        <is>
          <t>general</t>
        </is>
      </c>
      <c r="C22" s="11" t="inlineStr">
        <is>
          <t>Оценка качества (CronJob, ночной прогон)</t>
        </is>
      </c>
      <c r="D22" s="51" t="n">
        <v>1</v>
      </c>
      <c r="E22" s="51" t="n">
        <v>0.5</v>
      </c>
      <c r="F22" s="51" t="n">
        <v>1</v>
      </c>
      <c r="G22" s="51" t="n">
        <v>0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 t="n">
        <v>1</v>
      </c>
      <c r="N22" s="51" t="n">
        <v>0.5</v>
      </c>
      <c r="O22" s="51" t="n">
        <v>1</v>
      </c>
      <c r="P22" s="51" t="n">
        <v>0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Ходит во внешний API судьи; локальной нагрузки почти нет.</t>
        </is>
      </c>
    </row>
    <row r="23" ht="30" customHeight="1">
      <c r="A23" s="50" t="n">
        <v>9</v>
      </c>
      <c r="B23" s="9" t="inlineStr">
        <is>
          <t>general</t>
        </is>
      </c>
      <c r="C23" s="11" t="inlineStr">
        <is>
          <t>Prometheus</t>
        </is>
      </c>
      <c r="D23" s="51" t="n">
        <v>1</v>
      </c>
      <c r="E23" s="51" t="n">
        <v>0.5</v>
      </c>
      <c r="F23" s="51" t="n">
        <v>1</v>
      </c>
      <c r="G23" s="51" t="n">
        <v>10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10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4" ht="30" customHeight="1">
      <c r="A24" s="50" t="n">
        <v>10</v>
      </c>
      <c r="B24" s="9" t="inlineStr">
        <is>
          <t>general</t>
        </is>
      </c>
      <c r="C24" s="11" t="inlineStr">
        <is>
          <t>Grafana</t>
        </is>
      </c>
      <c r="D24" s="51" t="n">
        <v>1</v>
      </c>
      <c r="E24" s="51" t="n">
        <v>0.25</v>
      </c>
      <c r="F24" s="51" t="n">
        <v>0.25</v>
      </c>
      <c r="G24" s="51" t="n">
        <v>1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0.25</v>
      </c>
      <c r="O24" s="51" t="n">
        <v>0.25</v>
      </c>
      <c r="P24" s="51" t="n">
        <v>1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45" customHeight="1">
      <c r="A25" s="50" t="n">
        <v>11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30" customHeight="1">
      <c r="A26" s="50" t="n">
        <v>12</v>
      </c>
      <c r="B26" s="9" t="inlineStr">
        <is>
          <t>general</t>
        </is>
      </c>
      <c r="C26" s="11" t="inlineStr">
        <is>
          <t>Alertmanager</t>
        </is>
      </c>
      <c r="D26" s="51" t="n">
        <v>1</v>
      </c>
      <c r="E26" s="51" t="n">
        <v>0.1</v>
      </c>
      <c r="F26" s="51" t="n">
        <v>0.1</v>
      </c>
      <c r="G26" s="51" t="n">
        <v>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1</v>
      </c>
      <c r="N26" s="51" t="n">
        <v>0.1</v>
      </c>
      <c r="O26" s="51" t="n">
        <v>0.1</v>
      </c>
      <c r="P26" s="51" t="n">
        <v>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Допущение.</t>
        </is>
      </c>
    </row>
    <row r="27" ht="60" customHeight="1">
      <c r="A27" s="50" t="n">
        <v>13</v>
      </c>
      <c r="B27" s="9" t="inlineStr">
        <is>
          <t>data</t>
        </is>
      </c>
      <c r="C27" s="11" t="inlineStr">
        <is>
          <t>Qdrant</t>
        </is>
      </c>
      <c r="D27" s="51" t="n">
        <v>1</v>
      </c>
      <c r="E27" s="51" t="n">
        <v>1</v>
      </c>
      <c r="F27" s="51" t="n">
        <v>2</v>
      </c>
      <c r="G27" s="51" t="n">
        <v>10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10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8" ht="90" customHeight="1">
      <c r="A28" s="50" t="n">
        <v>14</v>
      </c>
      <c r="B28" s="9" t="inlineStr">
        <is>
          <t>data</t>
        </is>
      </c>
      <c r="C28" s="11" t="inlineStr">
        <is>
          <t>Postgres (обращения, профиль, телеметрия, журнал диалогов)</t>
        </is>
      </c>
      <c r="D28" s="51" t="n">
        <v>1</v>
      </c>
      <c r="E28" s="51" t="n">
        <v>1</v>
      </c>
      <c r="F28" s="51" t="n">
        <v>2</v>
      </c>
      <c r="G28" s="51" t="n">
        <v>20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1</v>
      </c>
      <c r="O28" s="51" t="n">
        <v>2</v>
      </c>
      <c r="P28" s="51" t="n">
        <v>50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9" ht="45" customHeight="1">
      <c r="A29" s="50" t="n">
        <v>15</v>
      </c>
      <c r="B29" s="9" t="inlineStr">
        <is>
          <t>data</t>
        </is>
      </c>
      <c r="C29" s="11" t="inlineStr">
        <is>
          <t>Redis (квоты и сессии)</t>
        </is>
      </c>
      <c r="D29" s="51" t="n">
        <v>1</v>
      </c>
      <c r="E29" s="51" t="n">
        <v>0.1</v>
      </c>
      <c r="F29" s="51" t="n">
        <v>0.25</v>
      </c>
      <c r="G29" s="51" t="n">
        <v>1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2</v>
      </c>
      <c r="N29" s="51" t="n">
        <v>0.1</v>
      </c>
      <c r="O29" s="51" t="n">
        <v>0.25</v>
      </c>
      <c r="P29" s="51" t="n">
        <v>1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30" ht="45" customHeight="1">
      <c r="A30" s="50" t="n">
        <v>16</v>
      </c>
      <c r="B30" s="9" t="inlineStr">
        <is>
          <t>data</t>
        </is>
      </c>
      <c r="C30" s="11" t="inlineStr">
        <is>
          <t>MinIO (документы, копии, снимки)</t>
        </is>
      </c>
      <c r="D30" s="51" t="n">
        <v>1</v>
      </c>
      <c r="E30" s="51" t="n">
        <v>0.25</v>
      </c>
      <c r="F30" s="51" t="n">
        <v>0.5</v>
      </c>
      <c r="G30" s="51" t="n">
        <v>100</v>
      </c>
      <c r="H30" s="51" t="n">
        <v>0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 t="n">
        <v>1</v>
      </c>
      <c r="N30" s="51" t="n">
        <v>0.5</v>
      </c>
      <c r="O30" s="51" t="n">
        <v>1</v>
      </c>
      <c r="P30" s="51" t="n">
        <v>400</v>
      </c>
      <c r="Q30" s="51" t="n">
        <v>0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1" ht="30" customHeight="1">
      <c r="A31" s="50" t="n">
        <v>17</v>
      </c>
      <c r="B31" s="9" t="inlineStr">
        <is>
          <t>gpu</t>
        </is>
      </c>
      <c r="C31" s="11" t="inlineStr">
        <is>
          <t>Эмбеддинги (BGE-M3, inference) [вариант с GPU]</t>
        </is>
      </c>
      <c r="D31" s="51">
        <f>1*$C$11</f>
        <v/>
      </c>
      <c r="E31" s="51" t="n">
        <v>1</v>
      </c>
      <c r="F31" s="51" t="n">
        <v>4</v>
      </c>
      <c r="G31" s="51" t="n">
        <v>5</v>
      </c>
      <c r="H31" s="51" t="n">
        <v>2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1*$C$11</f>
        <v/>
      </c>
      <c r="N31" s="51" t="n">
        <v>1</v>
      </c>
      <c r="O31" s="51" t="n">
        <v>4</v>
      </c>
      <c r="P31" s="51" t="n">
        <v>5</v>
      </c>
      <c r="Q31" s="51" t="n">
        <v>2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2" ht="30" customHeight="1">
      <c r="A32" s="50" t="n">
        <v>18</v>
      </c>
      <c r="B32" s="9" t="inlineStr">
        <is>
          <t>gpu</t>
        </is>
      </c>
      <c r="C32" s="11" t="inlineStr">
        <is>
          <t>Реранкер (BGE-reranker-v2-m3, inference) [вариант с GPU]</t>
        </is>
      </c>
      <c r="D32" s="51">
        <f>1*$C$11</f>
        <v/>
      </c>
      <c r="E32" s="51" t="n">
        <v>1</v>
      </c>
      <c r="F32" s="51" t="n">
        <v>3</v>
      </c>
      <c r="G32" s="51" t="n">
        <v>3</v>
      </c>
      <c r="H32" s="51" t="n">
        <v>1.5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>
        <f>1*$C$11</f>
        <v/>
      </c>
      <c r="N32" s="51" t="n">
        <v>1</v>
      </c>
      <c r="O32" s="51" t="n">
        <v>3</v>
      </c>
      <c r="P32" s="51" t="n">
        <v>3</v>
      </c>
      <c r="Q32" s="51" t="n">
        <v>1.5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3" ht="30" customHeight="1">
      <c r="A33" s="50" t="n">
        <v>19</v>
      </c>
      <c r="B33" s="9" t="inlineStr">
        <is>
          <t>gpu-llm</t>
        </is>
      </c>
      <c r="C33" s="11" t="inlineStr">
        <is>
          <t>Собственная модель (Qwen2.5-32B INT4, vLLM) — по триггеру</t>
        </is>
      </c>
      <c r="D33" s="51" t="n">
        <v>0</v>
      </c>
      <c r="E33" s="51" t="n">
        <v>8</v>
      </c>
      <c r="F33" s="51" t="n">
        <v>64</v>
      </c>
      <c r="G33" s="51" t="n">
        <v>100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 t="n">
        <v>1</v>
      </c>
      <c r="N33" s="51" t="n">
        <v>8</v>
      </c>
      <c r="O33" s="51" t="n">
        <v>64</v>
      </c>
      <c r="P33" s="51" t="n">
        <v>100</v>
      </c>
      <c r="Q33" s="51" t="n">
        <v>40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4" ht="45" customHeight="1">
      <c r="A34" s="50" t="n">
        <v>20</v>
      </c>
      <c r="B34" s="9" t="inlineStr">
        <is>
          <t>general</t>
        </is>
      </c>
      <c r="C34" s="11" t="inlineStr">
        <is>
          <t>Эмбеддинги (e5-small на CPU) [вариант без GPU]</t>
        </is>
      </c>
      <c r="D34" s="51">
        <f>2*(1-$C$11)</f>
        <v/>
      </c>
      <c r="E34" s="51" t="n">
        <v>1</v>
      </c>
      <c r="F34" s="51" t="n">
        <v>1.5</v>
      </c>
      <c r="G34" s="51" t="n">
        <v>2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2*(1-$C$11)</f>
        <v/>
      </c>
      <c r="N34" s="51" t="n">
        <v>1</v>
      </c>
      <c r="O34" s="51" t="n">
        <v>1.5</v>
      </c>
      <c r="P34" s="51" t="n">
        <v>2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5" ht="45" customHeight="1">
      <c r="A35" s="50" t="n">
        <v>21</v>
      </c>
      <c r="B35" s="9" t="inlineStr">
        <is>
          <t>general</t>
        </is>
      </c>
      <c r="C35" s="11" t="inlineStr">
        <is>
          <t>ETL индексации: эмбеддинги на CPU (CronJob) [вариант без GPU]</t>
        </is>
      </c>
      <c r="D35" s="51">
        <f>1*(1-$C$11)</f>
        <v/>
      </c>
      <c r="E35" s="51" t="n">
        <v>4</v>
      </c>
      <c r="F35" s="51" t="n">
        <v>4</v>
      </c>
      <c r="G35" s="51" t="n">
        <v>5</v>
      </c>
      <c r="H35" s="51" t="n">
        <v>0</v>
      </c>
      <c r="I35" s="53">
        <f>D35*E35</f>
        <v/>
      </c>
      <c r="J35" s="53">
        <f>D35*F35</f>
        <v/>
      </c>
      <c r="K35" s="53">
        <f>D35*G35</f>
        <v/>
      </c>
      <c r="L35" s="53">
        <f>D35*H35</f>
        <v/>
      </c>
      <c r="M35" s="51">
        <f>1*(1-$C$11)</f>
        <v/>
      </c>
      <c r="N35" s="51" t="n">
        <v>4</v>
      </c>
      <c r="O35" s="51" t="n">
        <v>4</v>
      </c>
      <c r="P35" s="51" t="n">
        <v>5</v>
      </c>
      <c r="Q35" s="51" t="n">
        <v>0</v>
      </c>
      <c r="R35" s="53">
        <f>M35*N35</f>
        <v/>
      </c>
      <c r="S35" s="53">
        <f>M35*O35</f>
        <v/>
      </c>
      <c r="T35" s="53">
        <f>M35*P35</f>
        <v/>
      </c>
      <c r="U35" s="53">
        <f>M35*Q35</f>
        <v/>
      </c>
      <c r="V35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7">
      <c r="C37" s="43" t="inlineStr">
        <is>
          <t>Итог по пулам узлов</t>
        </is>
      </c>
      <c r="P37" s="9" t="inlineStr">
        <is>
          <t>Загрузка узла по запросам, не выше</t>
        </is>
      </c>
      <c r="Q37" s="54" t="n">
        <v>0.7</v>
      </c>
    </row>
    <row r="38">
      <c r="B38" s="5" t="inlineStr">
        <is>
          <t>Пул</t>
        </is>
      </c>
      <c r="C38" s="5" t="inlineStr">
        <is>
          <t>Класс узла</t>
        </is>
      </c>
      <c r="D38" s="5" t="inlineStr">
        <is>
          <t>vCPU узла</t>
        </is>
      </c>
      <c r="E38" s="5" t="inlineStr">
        <is>
          <t>ОЗУ узла, ГиБ</t>
        </is>
      </c>
      <c r="F38" s="5" t="inlineStr">
        <is>
          <t>Видеопамять узла, ГиБ</t>
        </is>
      </c>
      <c r="G38" s="5" t="inlineStr">
        <is>
          <t>Запас на потерю узла (1 — да)</t>
        </is>
      </c>
      <c r="H38" s="5" t="inlineStr">
        <is>
          <t>MVP: vCPU</t>
        </is>
      </c>
      <c r="I38" s="5" t="inlineStr">
        <is>
          <t>MVP: ОЗУ</t>
        </is>
      </c>
      <c r="J38" s="5" t="inlineStr">
        <is>
          <t>MVP: видеопамять</t>
        </is>
      </c>
      <c r="K38" s="5" t="inlineStr">
        <is>
          <t>MVP: узлов</t>
        </is>
      </c>
      <c r="L38" s="5" t="inlineStr">
        <is>
          <t>Тираж: vCPU</t>
        </is>
      </c>
      <c r="M38" s="5" t="inlineStr">
        <is>
          <t>Тираж: ОЗУ</t>
        </is>
      </c>
      <c r="N38" s="5" t="inlineStr">
        <is>
          <t>Тираж: видеопамять</t>
        </is>
      </c>
      <c r="O38" s="5" t="inlineStr">
        <is>
          <t>Тираж: узлов</t>
        </is>
      </c>
    </row>
    <row r="39">
      <c r="B39" s="11" t="inlineStr">
        <is>
          <t>general</t>
        </is>
      </c>
      <c r="C39" s="9" t="inlineStr">
        <is>
          <t>Общий пул (платформа, приложение, наблюдаемость)</t>
        </is>
      </c>
      <c r="D39" s="10" t="n">
        <v>8</v>
      </c>
      <c r="E39" s="10" t="n">
        <v>16</v>
      </c>
      <c r="F39" s="10" t="n">
        <v>0</v>
      </c>
      <c r="G39" s="10" t="n">
        <v>1</v>
      </c>
      <c r="H39" s="55">
        <f>SUMIF($B$15:$B$35,$B39,$I$15:$I$35)</f>
        <v/>
      </c>
      <c r="I39" s="55">
        <f>SUMIF($B$15:$B$35,$B39,$J$15:$J$35)</f>
        <v/>
      </c>
      <c r="J39" s="55">
        <f>SUMIF($B$15:$B$35,$B39,$L$15:$L$35)</f>
        <v/>
      </c>
      <c r="K39" s="56">
        <f>IF(H39=0,0,ROUNDUP(MAX(H39/($Q$37*$D39),I39/($Q$37*$E39),IF($F39&gt;0,J39/($Q$37*$F39),0)),0)+$G39)</f>
        <v/>
      </c>
      <c r="L39" s="55">
        <f>SUMIF($B$15:$B$35,$B39,$R$15:$R$35)</f>
        <v/>
      </c>
      <c r="M39" s="55">
        <f>SUMIF($B$15:$B$35,$B39,$S$15:$S$35)</f>
        <v/>
      </c>
      <c r="N39" s="55">
        <f>SUMIF($B$15:$B$35,$B39,$U$15:$U$35)</f>
        <v/>
      </c>
      <c r="O39" s="56">
        <f>IF(L39=0,0,ROUNDUP(MAX(L39/($Q$37*$D39),M39/($Q$37*$E39),IF($F39&gt;0,N39/($Q$37*$F39),0)),0)+$G39)</f>
        <v/>
      </c>
    </row>
    <row r="40">
      <c r="B40" s="11" t="inlineStr">
        <is>
          <t>data</t>
        </is>
      </c>
      <c r="C40" s="9" t="inlineStr">
        <is>
          <t>Пул данных (NVMe)</t>
        </is>
      </c>
      <c r="D40" s="10" t="n">
        <v>8</v>
      </c>
      <c r="E40" s="10" t="n">
        <v>32</v>
      </c>
      <c r="F40" s="10" t="n">
        <v>0</v>
      </c>
      <c r="G40" s="10" t="n">
        <v>1</v>
      </c>
      <c r="H40" s="55">
        <f>SUMIF($B$15:$B$35,$B40,$I$15:$I$35)</f>
        <v/>
      </c>
      <c r="I40" s="55">
        <f>SUMIF($B$15:$B$35,$B40,$J$15:$J$35)</f>
        <v/>
      </c>
      <c r="J40" s="55">
        <f>SUMIF($B$15:$B$35,$B40,$L$15:$L$35)</f>
        <v/>
      </c>
      <c r="K40" s="56">
        <f>IF(H40=0,0,ROUNDUP(MAX(H40/($Q$37*$D40),I40/($Q$37*$E40),IF($F40&gt;0,J40/($Q$37*$F40),0)),0)+$G40)</f>
        <v/>
      </c>
      <c r="L40" s="55">
        <f>SUMIF($B$15:$B$35,$B40,$R$15:$R$35)</f>
        <v/>
      </c>
      <c r="M40" s="55">
        <f>SUMIF($B$15:$B$35,$B40,$S$15:$S$35)</f>
        <v/>
      </c>
      <c r="N40" s="55">
        <f>SUMIF($B$15:$B$35,$B40,$U$15:$U$35)</f>
        <v/>
      </c>
      <c r="O40" s="56">
        <f>IF(L40=0,0,ROUNDUP(MAX(L40/($Q$37*$D40),M40/($Q$37*$E40),IF($F40&gt;0,N40/($Q$37*$F40),0)),0)+$G40)</f>
        <v/>
      </c>
    </row>
    <row r="41">
      <c r="B41" s="11" t="inlineStr">
        <is>
          <t>gpu</t>
        </is>
      </c>
      <c r="C41" s="9" t="inlineStr">
        <is>
          <t>GPU-пул (эмбеддинги, реранкер)</t>
        </is>
      </c>
      <c r="D41" s="10" t="n">
        <v>8</v>
      </c>
      <c r="E41" s="10" t="n">
        <v>32</v>
      </c>
      <c r="F41" s="10" t="n">
        <v>24</v>
      </c>
      <c r="G41" s="10" t="n">
        <v>0</v>
      </c>
      <c r="H41" s="55">
        <f>SUMIF($B$15:$B$35,$B41,$I$15:$I$35)</f>
        <v/>
      </c>
      <c r="I41" s="55">
        <f>SUMIF($B$15:$B$35,$B41,$J$15:$J$35)</f>
        <v/>
      </c>
      <c r="J41" s="55">
        <f>SUMIF($B$15:$B$35,$B41,$L$15:$L$35)</f>
        <v/>
      </c>
      <c r="K41" s="56">
        <f>IF(H41=0,0,ROUNDUP(MAX(H41/($Q$37*$D41),I41/($Q$37*$E41),IF($F41&gt;0,J41/($Q$37*$F41),0)),0)+$G41)</f>
        <v/>
      </c>
      <c r="L41" s="55">
        <f>SUMIF($B$15:$B$35,$B41,$R$15:$R$35)</f>
        <v/>
      </c>
      <c r="M41" s="55">
        <f>SUMIF($B$15:$B$35,$B41,$S$15:$S$35)</f>
        <v/>
      </c>
      <c r="N41" s="55">
        <f>SUMIF($B$15:$B$35,$B41,$U$15:$U$35)</f>
        <v/>
      </c>
      <c r="O41" s="56">
        <f>IF(L41=0,0,ROUNDUP(MAX(L41/($Q$37*$D41),M41/($Q$37*$E41),IF($F41&gt;0,N41/($Q$37*$F41),0)),0)+$G41)</f>
        <v/>
      </c>
    </row>
    <row r="42">
      <c r="B42" s="11" t="inlineStr">
        <is>
          <t>gpu-llm</t>
        </is>
      </c>
      <c r="C42" s="9" t="inlineStr">
        <is>
          <t>GPU-пул генерации (тираж)</t>
        </is>
      </c>
      <c r="D42" s="10" t="n">
        <v>16</v>
      </c>
      <c r="E42" s="10" t="n">
        <v>128</v>
      </c>
      <c r="F42" s="10" t="n">
        <v>80</v>
      </c>
      <c r="G42" s="10" t="n">
        <v>0</v>
      </c>
      <c r="H42" s="55">
        <f>SUMIF($B$15:$B$35,$B42,$I$15:$I$35)</f>
        <v/>
      </c>
      <c r="I42" s="55">
        <f>SUMIF($B$15:$B$35,$B42,$J$15:$J$35)</f>
        <v/>
      </c>
      <c r="J42" s="55">
        <f>SUMIF($B$15:$B$35,$B42,$L$15:$L$35)</f>
        <v/>
      </c>
      <c r="K42" s="56">
        <f>IF(H42=0,0,ROUNDUP(MAX(H42/($Q$37*$D42),I42/($Q$37*$E42),IF($F42&gt;0,J42/($Q$37*$F42),0)),0)+$G42)</f>
        <v/>
      </c>
      <c r="L42" s="55">
        <f>SUMIF($B$15:$B$35,$B42,$R$15:$R$35)</f>
        <v/>
      </c>
      <c r="M42" s="55">
        <f>SUMIF($B$15:$B$35,$B42,$S$15:$S$35)</f>
        <v/>
      </c>
      <c r="N42" s="55">
        <f>SUMIF($B$15:$B$35,$B42,$U$15:$U$35)</f>
        <v/>
      </c>
      <c r="O42" s="56">
        <f>IF(L42=0,0,ROUNDUP(MAX(L42/($Q$37*$D42),M42/($Q$37*$E42),IF($F42&gt;0,N42/($Q$37*$F42),0)),0)+$G42)</f>
        <v/>
      </c>
    </row>
    <row r="43">
      <c r="B43" s="11" t="inlineStr">
        <is>
          <t>Итого узлов</t>
        </is>
      </c>
      <c r="K43" s="57">
        <f>SUM(K39:K42)</f>
        <v/>
      </c>
      <c r="O43" s="57">
        <f>SUM(O39:O42)</f>
        <v/>
      </c>
    </row>
    <row r="44">
      <c r="B44" s="11" t="inlineStr">
        <is>
          <t>Диск под тома, ГиБ</t>
        </is>
      </c>
      <c r="K44" s="58">
        <f>SUM($K$15:$K$35)</f>
        <v/>
      </c>
      <c r="O44" s="58">
        <f>SUM($T$15:$T$35)</f>
        <v/>
      </c>
    </row>
    <row r="46">
      <c r="B46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10">
    <mergeCell ref="C4:U4"/>
    <mergeCell ref="D13:L13"/>
    <mergeCell ref="C5:U5"/>
    <mergeCell ref="C8:U8"/>
    <mergeCell ref="C9:U9"/>
    <mergeCell ref="C3:U3"/>
    <mergeCell ref="C7:U7"/>
    <mergeCell ref="M13:U13"/>
    <mergeCell ref="C6:U6"/>
    <mergeCell ref="C10:U10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2026-09-24T18:59:38Z</dcterms:created>
  <dcterms:modified xmlns:dcterms="http://purl.org/dc/terms/" xmlns:xsi="http://www.w3.org/2001/XMLSchema-instance" xsi:type="dcterms:W3CDTF">2026-09-24T18:59:38Z</dcterms:modified>
</cp:coreProperties>
</file>