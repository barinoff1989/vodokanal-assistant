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дорабатывается детектор намерений (LangGraph реплику на задачи не разбирает,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4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берётся только если на реальных данных измерено, что без него работает хуже (три признака в ADR-200); таких измерений нет. Другие движки не сравнивались.</t>
        </is>
      </c>
      <c r="H17" s="9" t="inlineStr">
        <is>
          <t>ADR-200, раздел «Backend и оркестрация»: строка «Оркестрация агента» и подраздел «Оркестрация агента: собственная таблица переходов, LangGraph — по триггеру»</t>
        </is>
      </c>
      <c r="I17" s="9" t="inlineStr">
        <is>
          <t>Форма компонента не выбрана: агент — отдельный контейнер, либо самописный модуль в Backend, как `registration.py` сейчас; решается после анализа всех обращений (сколько типов запросов на запись, сценарии); сравнение вариантов А/Б/В — ADR-200, «Агент записи или самописный модуль». Оценка справа — для варианта с отдельным контейнером. 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дорабатывается детектор намерений.</t>
        </is>
      </c>
      <c r="J17" s="9" t="inlineStr">
        <is>
          <t>Начало работ — по триггеру Этапа 2: четыре условия сразу, с числовыми порогами (ADR-600, «Критерий перехода…»: hit@3 ≥ 85%, hit@1 ≥ 60%, верных ответов ≥ 80%, скорость не хуже прототипа, 4 недели подряд — предложение автора, утверждает владелец). 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Переход агента на LangGraph (по триггеру)</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Не выполняется: автомат — собственная таблица переходов (`app/fsm.py`, 7 состояний, 10 переходов). Работа появляется только если на реальных данных измерено, что без LangGraph работает хуже, и более простое средство не помогло. Три признака (ADR-200): выбор шага моделью даёт выигрыш, которого правила не дают; операции записи теряются из-за потери состояния; ошибки в собственной логике переходов. Пороги не заданы. Возможности библиотеки (ветвление, контрольные точки, параллельные ветви) сами по себе не повод; доля многозадачных реплик — метрика детектора, не признак. Журнал проверки — в ADR-200; пока ни один сценарий не поставлен и измерений нет.</t>
        </is>
      </c>
      <c r="G18" s="9" t="inlineStr">
        <is>
          <t>Свой автомат против `transitions` и LangGraph — ADR-200, подраздел «Оркестрация агента». Прежние четыре условия (выбор шага моделью, ожидание дольше сессии, параллельные ветви, доля многозадачных реплик &gt; 5%) сняты как описывающие возможности библиотеки, а не ухудшение без неё: ожидание снимается хранением состояния в Postgres, параллельные ветви — `asyncio.gather`, реплику на задачи разбирает детектор. Для фиксированной заявки с одним подтверждением LangGraph не нужен.</t>
        </is>
      </c>
      <c r="H18" s="9" t="inlineStr">
        <is>
          <t>ADR-200, подраздел «Оркестрация агента: собственная таблица переходов, LangGraph — по триггеру», в том числе «Почему сейчас LangGraph не нужен» и признаки необходимости</t>
        </is>
      </c>
      <c r="I18" s="9" t="inlineStr">
        <is>
          <t>Оценка function-calling у GigaChat и YandexGPT не проведена (предусловие признака 1); возможности LangGraph в проекте не пробовались; телеметрия библиотеки (`langsmith`) не проверена на соответствие 152-ФЗ. Пороги признаков 1–3 не заданы — выбираются при анализе обращений. Оценка по признакам: общая часть 5–9 чел-дн; с признаком 1 — 8–14, 2 — 7–12, 3 — 5–9; признаки 1 и 2 вместе — 10–17 (диапазон 5–17).</t>
        </is>
      </c>
      <c r="J18" s="9" t="inlineStr">
        <is>
          <t>Перенос таблицы переходов в граф без изменения состава переходов; `interrupt_before` вместо проверки состояния или не применяется; при признаке 2 — контрольные точки (Redis с сохранением или Postgres) и удаление ПДн из состояния; при признаке 1 — инструменты (Биллинг, обращения, Диспетчерская) с ограничением шагов, идемпотентностью и аудитом; отключение внешней телеметрии библиотеки; регрессия.</t>
        </is>
      </c>
      <c r="K18" s="9" t="inlineStr">
        <is>
          <t>Python; LangGraph `StateGraph`; хранилище контрольных точек — Redis с сохранением или Postgres.</t>
        </is>
      </c>
      <c r="L18" s="9" t="inlineStr">
        <is>
          <t>Только если измерено, что без него работает хуже: возможности, ради которых берут библиотеку, сами по себе не доказывают необходимости. Работа не входит в итог сметы — показана отдельным столбцом.</t>
        </is>
      </c>
      <c r="M18" s="12" t="n">
        <v>5</v>
      </c>
      <c r="N18" s="12" t="n">
        <v>17</v>
      </c>
      <c r="O18" s="13" t="inlineStr">
        <is>
          <t>По триггеру (оценка автора)</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отдельные контейнеры Prometheus и Loki — верхняя оценка до ответа владельца (MVP)</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Prometheus и Loki — верхняя оценка до ответа владельца.</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1 234–101 280 ₽ в месяц, на тираже 3 305 ₽–1,07 млн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×82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метрика детектора намерений (выше 5% — доработка детектора, ADR-200); в пределах оценки. Свод по операциям записи: сколько типов запросов на запись и какие у них сценарии — на этом решается, нужен ли агент (контейнер или LangGraph) или достаточно самописного модуля в Backend (ADR-200, «Агент записи или самописный модуль»); в пределах оценки, отдельно не считалась (оценка автора).</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метрика детектора намерений (выше 5% — доработка детектора; LangGraph этого не решает).</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4"/>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Документация и ИБ</t>
        </is>
      </c>
      <c r="B19" s="34" t="n">
        <v>5</v>
      </c>
      <c r="C19" s="34" t="n">
        <v>7.5</v>
      </c>
      <c r="D19" s="34">
        <f>SUMIF('Матрица'!$O$3:$O$43,"Из блока ADR-600: Документация и ИБ",'Матрица'!$M$3:$M$43)</f>
        <v/>
      </c>
      <c r="E19" s="34">
        <f>SUMIF('Матрица'!$O$3:$O$43,"Из блока ADR-600: Документация и ИБ",'Матрица'!$N$3:$N$43)</f>
        <v/>
      </c>
      <c r="F19" s="44">
        <f>IF(AND(D19=B19,E19=C19),"да","НЕТ")</f>
        <v/>
      </c>
      <c r="G19" s="9" t="inlineStr">
        <is>
          <t>1–1,5 недели</t>
        </is>
      </c>
    </row>
    <row r="20">
      <c r="A20" s="11" t="inlineStr">
        <is>
          <t>Анализ типов на живых данных</t>
        </is>
      </c>
      <c r="B20" s="34" t="n">
        <v>13</v>
      </c>
      <c r="C20" s="34" t="n">
        <v>19</v>
      </c>
      <c r="D20" s="34">
        <f>SUMIF('Матрица'!$O$3:$O$43,"Из блока ADR-600: Анализ типов на живых данных",'Матрица'!$M$3:$M$43)</f>
        <v/>
      </c>
      <c r="E20" s="34">
        <f>SUMIF('Матрица'!$O$3:$O$43,"Из блока ADR-600: Анализ типов на живых данных",'Матрица'!$N$3:$N$43)</f>
        <v/>
      </c>
      <c r="F20" s="44">
        <f>IF(AND(D20=B20,E20=C20),"да","НЕТ")</f>
        <v/>
      </c>
      <c r="G20" s="9" t="inlineStr">
        <is>
          <t>13–19 чел-дн (ADR-600, дополнительно к блоку «Качество поиска и классификации»)</t>
        </is>
      </c>
    </row>
    <row r="21">
      <c r="A21" s="11" t="inlineStr">
        <is>
          <t>Несколько задач в одной реплике (доработка после прототипа)</t>
        </is>
      </c>
      <c r="B21" s="34" t="n">
        <v>9</v>
      </c>
      <c r="C21" s="34" t="n">
        <v>14</v>
      </c>
      <c r="D21" s="34">
        <f>SUMIF('Матрица'!$O$3:$O$43,"Из блока ADR-600: Несколько задач в одной реплике (доработка после прототипа)",'Матрица'!$M$3:$M$43)</f>
        <v/>
      </c>
      <c r="E21" s="34">
        <f>SUMIF('Матрица'!$O$3:$O$43,"Из блока ADR-600: Несколько задач в одной реплике (доработка после прототипа)",'Матрица'!$N$3:$N$43)</f>
        <v/>
      </c>
      <c r="F21" s="44">
        <f>IF(AND(D21=B21,E21=C21),"да","НЕТ")</f>
        <v/>
      </c>
      <c r="G21" s="9" t="inlineStr">
        <is>
          <t>9–14 чел-дн (ADR-600): проверка детектора на репликах чата 3–4, несколько обращений из одной реплики 3–5, условия помимо долга 2–3, путь generate и лимиты 1–2</t>
        </is>
      </c>
    </row>
    <row r="22">
      <c r="A22" s="11" t="inlineStr">
        <is>
          <t>Проверка Guardrails и провайдеров на живых данных</t>
        </is>
      </c>
      <c r="B22" s="34" t="n">
        <v>11</v>
      </c>
      <c r="C22" s="34" t="n">
        <v>18</v>
      </c>
      <c r="D22" s="34">
        <f>SUMIF('Матрица'!$O$3:$O$43,"Из блока ADR-600: Проверка Guardrails и провайдеров на живых данных",'Матрица'!$M$3:$M$43)</f>
        <v/>
      </c>
      <c r="E22" s="34">
        <f>SUMIF('Матрица'!$O$3:$O$43,"Из блока ADR-600: Проверка Guardrails и провайдеров на живых данных",'Матрица'!$N$3:$N$43)</f>
        <v/>
      </c>
      <c r="F22" s="44">
        <f>IF(AND(D22=B22,E22=C22),"да","НЕТ")</f>
        <v/>
      </c>
      <c r="G22" s="9" t="inlineStr">
        <is>
          <t>11–18 чел-дн (ADR-600): выборка 1–2, Guardrails 4–6, оптимизация синхронной проверки 1–2, сравнение провайдеров 4–6, решение 1–2</t>
        </is>
      </c>
    </row>
    <row r="23">
      <c r="A23" s="11" t="inlineStr">
        <is>
          <t>Итого по блокам</t>
        </is>
      </c>
      <c r="B23" s="38">
        <f>SUM(B15:B22)</f>
        <v/>
      </c>
      <c r="C23" s="38">
        <f>SUM(C15:C22)</f>
        <v/>
      </c>
      <c r="D23" s="38">
        <f>SUM(D15:D22)</f>
        <v/>
      </c>
      <c r="E23" s="38">
        <f>SUM(E15:E22)</f>
        <v/>
      </c>
      <c r="F23" s="45">
        <f>IF(AND(D23=B23,E23=C23),"да","НЕТ")</f>
        <v/>
      </c>
      <c r="G23" s="9" t="inlineStr">
        <is>
          <t>ADR-600 называет итог ≈22–34 недели (≈110–170 чел-дн); сумма блоков 111,5–169,5 — округление в самом ADR-600</t>
        </is>
      </c>
    </row>
    <row r="25">
      <c r="A25" s="43" t="inlineStr">
        <is>
          <t>Затраты, которые не выражаются человеко-днями</t>
        </is>
      </c>
    </row>
    <row r="26">
      <c r="A26" s="5" t="inlineStr">
        <is>
          <t>Контур</t>
        </is>
      </c>
      <c r="B26" s="5" t="inlineStr">
        <is>
          <t>Статья</t>
        </is>
      </c>
      <c r="C26" s="5" t="inlineStr">
        <is>
          <t>Значение / комментарий</t>
        </is>
      </c>
      <c r="D26" s="5" t="inlineStr">
        <is>
          <t>От</t>
        </is>
      </c>
      <c r="E26" s="5" t="inlineStr">
        <is>
          <t>До</t>
        </is>
      </c>
      <c r="F26" s="5" t="inlineStr">
        <is>
          <t>Единица</t>
        </is>
      </c>
      <c r="G26" s="5" t="inlineStr">
        <is>
          <t>Источник</t>
        </is>
      </c>
    </row>
    <row r="27">
      <c r="A27" s="11" t="inlineStr">
        <is>
          <t>MVP</t>
        </is>
      </c>
      <c r="B27" s="9" t="inlineStr">
        <is>
          <t>Токены генерации (YandexGPT Pro, 0,8 ₽ за 1000 токенов)</t>
        </is>
      </c>
      <c r="C27" s="9" t="inlineStr">
        <is>
          <t>Минимум — 1 234 ₽/мес (7% абонентов в чате, 30% вопросов до модели, 401 токен на запрос, судья раз в неделю); максимум — 101 280 ₽/мес (35%, 70%, 3 500 токенов, судья каждую ночь). Допущения о спросе данными водоканала не подтверждены; разброс ×82</t>
        </is>
      </c>
      <c r="D27" s="42" t="n">
        <v>1234</v>
      </c>
      <c r="E27" s="42" t="n">
        <v>101280</v>
      </c>
      <c r="F27" s="9" t="inlineStr">
        <is>
          <t>₽/мес</t>
        </is>
      </c>
      <c r="G27" s="9" t="inlineStr">
        <is>
          <t>Capacity_Report; лист «Прогноз стоимости»</t>
        </is>
      </c>
    </row>
    <row r="28">
      <c r="A28" s="11" t="inlineStr">
        <is>
          <t>Тираж</t>
        </is>
      </c>
      <c r="B28" s="9" t="inlineStr">
        <is>
          <t>Токены генерации и судьи качества (тариф YandexGPT Pro 0,8 ₽ за 1000 токенов)</t>
        </is>
      </c>
      <c r="C28" s="9" t="inlineStr">
        <is>
          <t>Минимум — 3 305 ₽/мес, максимум — 1,07 млн ₽/мес (0,66 вопроса/с в пике); если примут собственную модель — вместо токенов CAPEX на карту</t>
        </is>
      </c>
      <c r="D28" s="42" t="n">
        <v>3305</v>
      </c>
      <c r="E28" s="42" t="n">
        <v>1065600</v>
      </c>
      <c r="F28" s="9" t="inlineStr">
        <is>
          <t>₽/мес</t>
        </is>
      </c>
      <c r="G28" s="9" t="inlineStr">
        <is>
          <t>Capacity_Report; лист «Прогноз стоимости»</t>
        </is>
      </c>
    </row>
    <row r="29">
      <c r="A29" s="11" t="inlineStr">
        <is>
          <t>MVP</t>
        </is>
      </c>
      <c r="B29" s="9" t="inlineStr">
        <is>
          <t>GPU-сервер под эмбеддинги и реранкер (только если владелец добавит GPU-узел: в кластере GPU нет)</t>
        </is>
      </c>
      <c r="C29" s="9" t="inlineStr">
        <is>
          <t>Не оценён отдельной строкой сметы; скорость на GPU не измерялась</t>
        </is>
      </c>
      <c r="D29" s="42" t="n"/>
      <c r="E29" s="42" t="n"/>
      <c r="F29" s="9" t="inlineStr">
        <is>
          <t>₽</t>
        </is>
      </c>
      <c r="G29" s="9" t="inlineStr">
        <is>
          <t>ADR-500 (открытый пункт)</t>
        </is>
      </c>
    </row>
    <row r="30">
      <c r="A30" s="11" t="inlineStr">
        <is>
          <t>MVP</t>
        </is>
      </c>
      <c r="B30" s="9" t="inlineStr">
        <is>
          <t>Kubernetes-кластер, хранилища, наблюдаемость (железо, размещение, обслуживание)</t>
        </is>
      </c>
      <c r="C30" s="9" t="inlineStr">
        <is>
          <t>Не оценены</t>
        </is>
      </c>
      <c r="D30" s="42" t="n"/>
      <c r="E30" s="42" t="n"/>
      <c r="F30" s="9" t="inlineStr">
        <is>
          <t>₽</t>
        </is>
      </c>
      <c r="G30" s="9" t="inlineStr">
        <is>
          <t>ADR-500 (открытый пункт)</t>
        </is>
      </c>
    </row>
    <row r="31">
      <c r="A31" s="11" t="inlineStr">
        <is>
          <t>Тираж</t>
        </is>
      </c>
      <c r="B31" s="9" t="inlineStr">
        <is>
          <t>Карта A100 80 ГБ (покупка, только если решат брать собственную модель)</t>
        </is>
      </c>
      <c r="C31"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1" s="42" t="n">
        <v>927000</v>
      </c>
      <c r="E31" s="42" t="n">
        <v>2368080</v>
      </c>
      <c r="F31" s="9" t="inlineStr">
        <is>
          <t>₽</t>
        </is>
      </c>
      <c r="G31" s="9" t="inlineStr">
        <is>
          <t>ADR-500</t>
        </is>
      </c>
    </row>
    <row r="32">
      <c r="A32" s="11" t="inlineStr">
        <is>
          <t>Тираж</t>
        </is>
      </c>
      <c r="B32" s="9" t="inlineStr">
        <is>
          <t>Сервер-хост, электричество, размещение, обслуживание GPU</t>
        </is>
      </c>
      <c r="C32" s="9" t="inlineStr">
        <is>
          <t>Не оценены</t>
        </is>
      </c>
      <c r="D32" s="42" t="n"/>
      <c r="E32" s="42" t="n"/>
      <c r="F32" s="9" t="inlineStr">
        <is>
          <t>₽</t>
        </is>
      </c>
      <c r="G32" s="9" t="inlineStr">
        <is>
          <t>ADR-500 (открытый пункт)</t>
        </is>
      </c>
    </row>
    <row r="34">
      <c r="A34"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только 30–70% вопросов доходит до модели.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измерено 401 (19 вызовов, фрагменты FAQ до 300 знаков), допущение максимума — 3 500.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3">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1,3–23,7 млн токенов в месяц на MVP и 1,9–174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75" customHeight="1">
      <c r="A11" s="50" t="n">
        <v>7</v>
      </c>
      <c r="B11" s="11" t="inlineStr">
        <is>
          <t>LLM Provider</t>
        </is>
      </c>
      <c r="C11" s="9" t="inlineStr">
        <is>
          <t>Токены генерации</t>
        </is>
      </c>
      <c r="D11" s="9" t="inlineStr">
        <is>
          <t>Токенов на запрос: измерено 401 (19 вызовов, фрагменты FAQ до 300 знаков), допущение максимума — 3 500. Стоимость токенов (генерация и судья) — 1 234–101 280 ₽ в месяц на MVP и 3 305 ₽–1,07 млн ₽ на тираже (минимум–максимум); до модели доходит 30–70% вопросов. Агент Этапа 2 добавит до 44 800 ₽ (MVP) и 504 000 ₽ (тираж) в месяц в максимуме.</t>
        </is>
      </c>
      <c r="E11" s="9" t="inlineStr">
        <is>
          <t>Замер (401) и допущение (3 500)</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6 048–352 800 строк в год на MVP и 68 040–3,97 млн на тираже (≈2–109 МБ и 21 МБ–1,2 ГБ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0,4 ГБ на MVP и до 4 ГБ на тираже, том 20 и 50 ГиБ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(+1 узел с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Prometheus (запасной источник для задержки P99) и Loki (как собираются логи, неизвестно) оставлены как верхняя оценка до ответа владельца.</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0.25</v>
      </c>
      <c r="G20" s="51" t="n">
        <v>0</v>
      </c>
      <c r="H20" s="51" t="n">
        <v>0</v>
      </c>
      <c r="I20" s="53">
        <f>D20*E20</f>
        <v/>
      </c>
      <c r="J20" s="53">
        <f>D20*F20</f>
        <v/>
      </c>
      <c r="K20" s="53">
        <f>D20*G20</f>
        <v/>
      </c>
      <c r="L20" s="53">
        <f>D20*H20</f>
        <v/>
      </c>
      <c r="M20" s="51" t="n">
        <v>2</v>
      </c>
      <c r="N20" s="51" t="n">
        <v>0.25</v>
      </c>
      <c r="O20" s="51" t="n">
        <v>0.25</v>
      </c>
      <c r="P20" s="51" t="n">
        <v>0</v>
      </c>
      <c r="Q20" s="51" t="n">
        <v>0</v>
      </c>
      <c r="R20" s="53">
        <f>M20*N20</f>
        <v/>
      </c>
      <c r="S20" s="53">
        <f>M20*O20</f>
        <v/>
      </c>
      <c r="T20" s="53">
        <f>M20*P20</f>
        <v/>
      </c>
      <c r="U20" s="53">
        <f>M20*Q20</f>
        <v/>
      </c>
      <c r="V20" s="9" t="inlineStr">
        <is>
          <t>Допущение.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45" customHeight="1">
      <c r="A27" s="50" t="n">
        <v>12</v>
      </c>
      <c r="B27" s="9" t="inlineStr">
        <is>
          <t>general</t>
        </is>
      </c>
      <c r="C27" s="11" t="inlineStr">
        <is>
          <t>Loki</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0,11 ГБ и 1,2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0,4 ГБ (MVP) и до 4 ГБ (тираж; подробные события хранятся 12 месяцев, старше — сводная таблица); диск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0.7</v>
      </c>
      <c r="G8" s="9" t="inlineStr">
        <is>
          <t>Замер на двух наборах живых текстов: 30% (регистр обращений по телефону и почте) и 70% (форма вопросов Golden Set).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401</v>
      </c>
      <c r="D9" s="59" t="n">
        <v>3500</v>
      </c>
      <c r="G9" s="9" t="inlineStr">
        <is>
          <t>Минимум — замер по 19 вызовам YandexGPT (короткие фрагменты FAQ). Максимум — допущение: системный текст + 3 фрагмента по ≈800 токенов.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2026-09-25T09:07:51Z</dcterms:created>
  <dcterms:modified xmlns:dcterms="http://purl.org/dc/terms/" xmlns:xsi="http://www.w3.org/2001/XMLSchema-instance" xsi:type="dcterms:W3CDTF">2026-09-25T09:07:51Z</dcterms:modified>
</cp:coreProperties>
</file>