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триггера (ADR-200).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10</v>
      </c>
      <c r="N18" s="12" t="n">
        <v>17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по общим сведениям, развитие замедлено (не проверялось).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8" s="17" t="n">
        <v>11</v>
      </c>
      <c r="N38" s="17" t="n">
        <v>18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6" t="inlineStr">
        <is>
          <t>Цвет ячеек с оценкой:</t>
        </is>
      </c>
    </row>
    <row r="41">
      <c r="C41" s="27" t="n"/>
      <c r="D41" s="28" t="inlineStr">
        <is>
          <t>цифра прямо из ADR-600</t>
        </is>
      </c>
    </row>
    <row r="42">
      <c r="C42" s="29" t="n"/>
      <c r="D42" s="28" t="inlineStr">
        <is>
          <t>цифра блока ADR-600 (или его доля, распределённая автором) — подтвердить</t>
        </is>
      </c>
    </row>
    <row r="43">
      <c r="C43" s="30" t="n"/>
      <c r="D43" s="28" t="inlineStr">
        <is>
          <t>в ADR-600 нет, оценка автора — подтвердить</t>
        </is>
      </c>
    </row>
    <row r="44">
      <c r="C44" s="31" t="n"/>
      <c r="D44" s="28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SUM('Матрица'!$M$3:$M$38)-SUMIF('Матрица'!$O$3:$O$38,"По триггеру*",'Матрица'!$M$3:$M$38)</f>
        <v/>
      </c>
      <c r="C5" s="34">
        <f>SUM('Матрица'!$N$3:$N$38)-SUMIF('Матрица'!$O$3:$O$38,"По триггеру*",'Матрица'!$N$3:$N$38)</f>
        <v/>
      </c>
      <c r="D5" s="34">
        <f>B5/5</f>
        <v/>
      </c>
      <c r="E5" s="34">
        <f>C5/5</f>
        <v/>
      </c>
      <c r="F5" s="35">
        <f>SUMIF('Матрица'!$O$3:$O$38,"ADR-600",'Матрица'!$M$3:$M$38)</f>
        <v/>
      </c>
      <c r="G5" s="35">
        <f>SUMIF('Матрица'!$O$3:$O$38,"ADR-600",'Матрица'!$N$3:$N$38)</f>
        <v/>
      </c>
      <c r="H5" s="36">
        <f>SUMIF('Матрица'!$O$3:$O$38,"Из блока*",'Матрица'!$M$3:$M$38)</f>
        <v/>
      </c>
      <c r="I5" s="36">
        <f>SUMIF('Матрица'!$O$3:$O$38,"Из блока*",'Матрица'!$N$3:$N$38)</f>
        <v/>
      </c>
      <c r="J5" s="37">
        <f>SUMIF('Матрица'!$O$3:$O$38,"Оценка автора",'Матрица'!$M$3:$M$38)</f>
        <v/>
      </c>
      <c r="K5" s="37">
        <f>SUMIF('Матрица'!$O$3:$O$38,"Оценка автора",'Матрица'!$N$3:$N$38)</f>
        <v/>
      </c>
      <c r="L5" s="34">
        <f>SUMIF('Матрица'!$O$3:$O$38,"По триггеру*",'Матрица'!$M$3:$M$38)</f>
        <v/>
      </c>
      <c r="M5" s="34">
        <f>SUMIF('Матрица'!$O$3:$O$38,"По триггеру*",'Матрица'!$N$3:$N$38)</f>
        <v/>
      </c>
    </row>
    <row r="6">
      <c r="A6" s="11" t="inlineStr">
        <is>
          <t>Тираж — 90 000 абонентов</t>
        </is>
      </c>
      <c r="B6" s="34">
        <f>SUM('Матрица'!$S$3:$S$38)-SUMIF('Матрица'!$U$3:$U$38,"По триггеру*",'Матрица'!$S$3:$S$38)</f>
        <v/>
      </c>
      <c r="C6" s="34">
        <f>SUM('Матрица'!$T$3:$T$38)-SUMIF('Матрица'!$U$3:$U$38,"По триггеру*",'Матрица'!$T$3:$T$38)</f>
        <v/>
      </c>
      <c r="D6" s="34">
        <f>B6/5</f>
        <v/>
      </c>
      <c r="E6" s="34">
        <f>C6/5</f>
        <v/>
      </c>
      <c r="F6" s="35">
        <f>SUMIF('Матрица'!$U$3:$U$38,"ADR-600",'Матрица'!$S$3:$S$38)</f>
        <v/>
      </c>
      <c r="G6" s="35">
        <f>SUMIF('Матрица'!$U$3:$U$38,"ADR-600",'Матрица'!$T$3:$T$38)</f>
        <v/>
      </c>
      <c r="H6" s="36">
        <f>SUMIF('Матрица'!$U$3:$U$38,"Из блока*",'Матрица'!$S$3:$S$38)</f>
        <v/>
      </c>
      <c r="I6" s="36">
        <f>SUMIF('Матрица'!$U$3:$U$38,"Из блока*",'Матрица'!$T$3:$T$38)</f>
        <v/>
      </c>
      <c r="J6" s="37">
        <f>SUMIF('Матрица'!$U$3:$U$38,"Оценка автора",'Матрица'!$S$3:$S$38)</f>
        <v/>
      </c>
      <c r="K6" s="37">
        <f>SUMIF('Матрица'!$U$3:$U$38,"Оценка автора",'Матрица'!$T$3:$T$38)</f>
        <v/>
      </c>
      <c r="L6" s="34">
        <f>SUMIF('Матрица'!$U$3:$U$38,"По триггеру*",'Матрица'!$S$3:$S$38)</f>
        <v/>
      </c>
      <c r="M6" s="34">
        <f>SUMIF('Матрица'!$U$3:$U$38,"По триггеру*",'Матрица'!$T$3:$T$38)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SUMIF('Матрица'!$O$3:$O$38,"Из блока ADR-600: P0",'Матрица'!$M$3:$M$38)</f>
        <v/>
      </c>
      <c r="E15" s="34">
        <f>SUMIF('Матрица'!$O$3:$O$38,"Из блока ADR-600: P0",'Матрица'!$N$3:$N$38)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SUMIF('Матрица'!$O$3:$O$38,"Из блока ADR-600: Согласования",'Матрица'!$M$3:$M$38)</f>
        <v/>
      </c>
      <c r="E16" s="34">
        <f>SUMIF('Матрица'!$O$3:$O$38,"Из блока ADR-600: Согласования",'Матрица'!$N$3:$N$38)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SUMIF('Матрица'!$O$3:$O$38,"Из блока ADR-600: Качество поиска и классификации",'Матрица'!$M$3:$M$38)</f>
        <v/>
      </c>
      <c r="E17" s="34">
        <f>SUMIF('Матрица'!$O$3:$O$38,"Из блока ADR-600: Качество поиска и классификации",'Матрица'!$N$3:$N$38)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SUMIF('Матрица'!$O$3:$O$38,"Из блока ADR-600: Основная разработка Этапа 2",'Матрица'!$M$3:$M$38)</f>
        <v/>
      </c>
      <c r="E18" s="34">
        <f>SUMIF('Матрица'!$O$3:$O$38,"Из блока ADR-600: Основная разработка Этапа 2",'Матрица'!$N$3:$N$38)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SUMIF('Матрица'!$O$3:$O$38,"Из блока ADR-600: Документация и ИБ",'Матрица'!$M$3:$M$38)</f>
        <v/>
      </c>
      <c r="E19" s="34">
        <f>SUMIF('Матрица'!$O$3:$O$38,"Из блока ADR-600: Документация и ИБ",'Матрица'!$N$3:$N$38)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SUMIF('Матрица'!$O$3:$O$38,"Из блока ADR-600: Анализ типов на живых данных",'Матрица'!$M$3:$M$38)</f>
        <v/>
      </c>
      <c r="E20" s="34">
        <f>SUMIF('Матрица'!$O$3:$O$38,"Из блока ADR-600: Анализ типов на живых данных",'Матрица'!$N$3:$N$38)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SUMIF('Матрица'!$O$3:$O$38,"Из блока ADR-600: Проверка Guardrails и провайдеров на живых данных",'Матрица'!$M$3:$M$38)</f>
        <v/>
      </c>
      <c r="E21" s="34">
        <f>SUMIF('Матрица'!$O$3:$O$38,"Из блока ADR-600: Проверка Guardrails и провайдеров на живых данных",'Матрица'!$N$3:$N$38)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≈20–30 недель (≈100–150 чел-дн); сумма блоков 99,5–150,5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6" s="42" t="n">
        <v>1234</v>
      </c>
      <c r="E26" s="42" t="n">
        <v>101280</v>
      </c>
      <c r="F26" s="9" t="inlineStr">
        <is>
          <t>₽/мес</t>
        </is>
      </c>
      <c r="G26" s="9" t="inlineStr">
        <is>
          <t>Capacity_Report; лист «Прогноз стоимости»</t>
        </is>
      </c>
    </row>
    <row r="27">
      <c r="A27" s="11" t="inlineStr">
        <is>
          <t>Тираж</t>
        </is>
      </c>
      <c r="B27" s="9" t="inlineStr">
        <is>
          <t>Токены генерации и судьи качества (тариф YandexGPT Pro 0,8 ₽ за 1000 токенов)</t>
        </is>
      </c>
      <c r="C27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7" s="42" t="n">
        <v>3305</v>
      </c>
      <c r="E27" s="42" t="n">
        <v>1065600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MVP</t>
        </is>
      </c>
      <c r="B28" s="9" t="inlineStr">
        <is>
          <t>GPU-сервер под эмбеддинги и реранкер</t>
        </is>
      </c>
      <c r="C28" s="9" t="inlineStr">
        <is>
          <t>Не оценён отдельной строкой сметы; скорость на GPU не измерялась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MVP</t>
        </is>
      </c>
      <c r="B29" s="9" t="inlineStr">
        <is>
          <t>Kubernetes-кластер, хранилища, наблюдаемость (железо, размещение, обслуживание)</t>
        </is>
      </c>
      <c r="C29" s="9" t="inlineStr">
        <is>
          <t>Не оценены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Тираж</t>
        </is>
      </c>
      <c r="B30" s="9" t="inlineStr">
        <is>
          <t>Карта A100 80 ГБ (покупка)</t>
        </is>
      </c>
      <c r="C30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0" s="42" t="n">
        <v>927000</v>
      </c>
      <c r="E30" s="42" t="n">
        <v>2368080</v>
      </c>
      <c r="F30" s="9" t="inlineStr">
        <is>
          <t>₽</t>
        </is>
      </c>
      <c r="G30" s="9" t="inlineStr">
        <is>
          <t>ADR-500</t>
        </is>
      </c>
    </row>
    <row r="31">
      <c r="A31" s="11" t="inlineStr">
        <is>
          <t>Тираж</t>
        </is>
      </c>
      <c r="B31" s="9" t="inlineStr">
        <is>
          <t>Сервер-хост, электричество, размещение, обслуживание GPU</t>
        </is>
      </c>
      <c r="C31" s="9" t="inlineStr">
        <is>
          <t>Не оценены</t>
        </is>
      </c>
      <c r="D31" s="42" t="n"/>
      <c r="E31" s="42" t="n"/>
      <c r="F31" s="9" t="inlineStr">
        <is>
          <t>₽</t>
        </is>
      </c>
      <c r="G31" s="9" t="inlineStr">
        <is>
          <t>ADR-500 (открытый пункт)</t>
        </is>
      </c>
    </row>
    <row r="33">
      <c r="A33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5">
      <c r="B45" s="43" t="inlineStr">
        <is>
          <t>Документы-источники</t>
        </is>
      </c>
    </row>
    <row r="46">
      <c r="B46" s="11" t="inlineStr">
        <is>
          <t>ADR-100</t>
        </is>
      </c>
      <c r="C46" s="9" t="inlineStr">
        <is>
          <t>Что сдано и что отложено; таблица «целевой компонент — замена на прототипе»</t>
        </is>
      </c>
    </row>
    <row r="47">
      <c r="B47" s="11" t="inlineStr">
        <is>
          <t>ADR-200</t>
        </is>
      </c>
      <c r="C47" s="9" t="inlineStr">
        <is>
          <t>Стек по слоям, альтернативы, сравнение Python/Go/Node.js</t>
        </is>
      </c>
    </row>
    <row r="48">
      <c r="B48" s="11" t="inlineStr">
        <is>
          <t>ADR-300</t>
        </is>
      </c>
      <c r="C48" s="9" t="inlineStr">
        <is>
          <t>Модели: классификация, эмбеддинги, реранкер, генерация, судья</t>
        </is>
      </c>
    </row>
    <row r="49">
      <c r="B49" s="11" t="inlineStr">
        <is>
          <t>ADR-400</t>
        </is>
      </c>
      <c r="C49" s="9" t="inlineStr">
        <is>
          <t>Безопасность по контурам, открытые пункты</t>
        </is>
      </c>
    </row>
    <row r="50">
      <c r="B50" s="11" t="inlineStr">
        <is>
          <t>ADR-500</t>
        </is>
      </c>
      <c r="C50" s="9" t="inlineStr">
        <is>
          <t>Ресурсы и стоимость: прототип, MVP, тираж</t>
        </is>
      </c>
    </row>
    <row r="51">
      <c r="B51" s="11" t="inlineStr">
        <is>
          <t>ADR-600</t>
        </is>
      </c>
      <c r="C51" s="9" t="inlineStr">
        <is>
          <t>План развития и укрупнённые оценки трудозатрат</t>
        </is>
      </c>
    </row>
    <row r="52">
      <c r="B52" s="11" t="inlineStr">
        <is>
          <t>C4_Deployment, C3/*</t>
        </is>
      </c>
      <c r="C52" s="9" t="inlineStr">
        <is>
          <t>Целевая схема развёртывания и компоненты</t>
        </is>
      </c>
    </row>
    <row r="53">
      <c r="B53" s="11" t="inlineStr">
        <is>
          <t>Код и docker-compose.yml</t>
        </is>
      </c>
      <c r="C53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8:F48"/>
    <mergeCell ref="C3:F3"/>
    <mergeCell ref="C53:F53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45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60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9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2026-09-24T16:50:18Z</dcterms:created>
  <dcterms:modified xmlns:dcterms="http://purl.org/dc/terms/" xmlns:xsi="http://www.w3.org/2001/XMLSchema-instance" xsi:type="dcterms:W3CDTF">2026-09-24T16:50:18Z</dcterms:modified>
</cp:coreProperties>
</file>