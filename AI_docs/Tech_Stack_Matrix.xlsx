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Матрица" sheetId="1" state="visible" r:id="rId1"/>
    <sheet xmlns:r="http://schemas.openxmlformats.org/officeDocument/2006/relationships" name="Стоимость" sheetId="2" state="visible" r:id="rId2"/>
    <sheet xmlns:r="http://schemas.openxmlformats.org/officeDocument/2006/relationships" name="Источники и допущения" sheetId="3" state="visible" r:id="rId3"/>
    <sheet xmlns:r="http://schemas.openxmlformats.org/officeDocument/2006/relationships" name="Объём по контейнерам" sheetId="4" state="visible" r:id="rId4"/>
    <sheet xmlns:r="http://schemas.openxmlformats.org/officeDocument/2006/relationships" name="Sizing" sheetId="5" state="visible" r:id="rId5"/>
    <sheet xmlns:r="http://schemas.openxmlformats.org/officeDocument/2006/relationships" name="Прогноз стоимости" sheetId="6" state="visible" r:id="rId6"/>
  </sheets>
  <definedNames>
    <definedName name="_xlnm._FilterDatabase" localSheetId="0" hidden="1">'Матрица'!$A$2:$V$37</definedName>
    <definedName name="_xlnm.Print_Titles" localSheetId="0">'Матрица'!$1:$2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0.0"/>
    <numFmt numFmtId="165" formatCode="0.0#"/>
    <numFmt numFmtId="166" formatCode="#,##0.0#"/>
    <numFmt numFmtId="167" formatCode="0.00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2"/>
    </font>
    <font>
      <name val="Calibri"/>
      <b val="1"/>
      <color rgb="00FFFFFF"/>
      <sz val="10"/>
    </font>
    <font>
      <name val="Calibri"/>
      <sz val="10"/>
    </font>
    <font>
      <name val="Calibri"/>
      <b val="1"/>
      <sz val="10"/>
    </font>
    <font>
      <name val="Calibri"/>
      <i val="1"/>
      <color rgb="007F7F7F"/>
      <sz val="10"/>
    </font>
    <font>
      <name val="Calibri"/>
      <b val="1"/>
      <sz val="14"/>
    </font>
    <font>
      <name val="Calibri"/>
      <i val="1"/>
      <sz val="10"/>
    </font>
    <font>
      <name val="Calibri"/>
      <b val="1"/>
      <sz val="12"/>
    </font>
    <font>
      <name val="Calibri"/>
      <b val="1"/>
      <sz val="11"/>
    </font>
  </fonts>
  <fills count="14">
    <fill>
      <patternFill/>
    </fill>
    <fill>
      <patternFill patternType="gray125"/>
    </fill>
    <fill>
      <patternFill patternType="solid">
        <fgColor rgb="00404040"/>
      </patternFill>
    </fill>
    <fill>
      <patternFill patternType="solid">
        <fgColor rgb="001F4E79"/>
      </patternFill>
    </fill>
    <fill>
      <patternFill patternType="solid">
        <fgColor rgb="002E7D5B"/>
      </patternFill>
    </fill>
    <fill>
      <patternFill patternType="solid">
        <fgColor rgb="007A5C00"/>
      </patternFill>
    </fill>
    <fill>
      <patternFill patternType="solid">
        <fgColor rgb="00FFD966"/>
      </patternFill>
    </fill>
    <fill>
      <patternFill patternType="solid">
        <fgColor rgb="00F2F2F2"/>
      </patternFill>
    </fill>
    <fill>
      <patternFill patternType="solid">
        <fgColor rgb="00DDEBF7"/>
      </patternFill>
    </fill>
    <fill>
      <patternFill patternType="solid">
        <fgColor rgb="00FFF2CC"/>
      </patternFill>
    </fill>
    <fill>
      <patternFill patternType="solid">
        <fgColor rgb="00E2EFDA"/>
      </patternFill>
    </fill>
    <fill>
      <patternFill patternType="solid">
        <fgColor rgb="00FCE4D6"/>
      </patternFill>
    </fill>
    <fill>
      <patternFill patternType="solid">
        <fgColor rgb="00EDEDED"/>
      </patternFill>
    </fill>
    <fill>
      <patternFill patternType="solid">
        <fgColor rgb="00FFFFCC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64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3" borderId="1" applyAlignment="1" pivotButton="0" quotePrefix="0" xfId="0">
      <alignment horizontal="center" vertical="center" wrapText="1"/>
    </xf>
    <xf numFmtId="0" fontId="1" fillId="4" borderId="1" applyAlignment="1" pivotButton="0" quotePrefix="0" xfId="0">
      <alignment horizontal="center" vertical="center" wrapText="1"/>
    </xf>
    <xf numFmtId="0" fontId="1" fillId="5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vertical="top" wrapText="1"/>
    </xf>
    <xf numFmtId="0" fontId="3" fillId="8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1" fontId="3" fillId="6" borderId="1" applyAlignment="1" pivotButton="0" quotePrefix="0" xfId="0">
      <alignment horizontal="center" vertical="top"/>
    </xf>
    <xf numFmtId="0" fontId="3" fillId="6" borderId="1" applyAlignment="1" pivotButton="0" quotePrefix="0" xfId="0">
      <alignment vertical="top" wrapText="1"/>
    </xf>
    <xf numFmtId="0" fontId="5" fillId="7" borderId="1" applyAlignment="1" pivotButton="0" quotePrefix="0" xfId="0">
      <alignment vertical="top" wrapText="1"/>
    </xf>
    <xf numFmtId="0" fontId="3" fillId="7" borderId="1" applyAlignment="1" pivotButton="0" quotePrefix="0" xfId="0">
      <alignment vertical="top" wrapText="1"/>
    </xf>
    <xf numFmtId="1" fontId="3" fillId="7" borderId="1" applyAlignment="1" pivotButton="0" quotePrefix="0" xfId="0">
      <alignment horizontal="center" vertical="top"/>
    </xf>
    <xf numFmtId="1" fontId="3" fillId="9" borderId="1" applyAlignment="1" pivotButton="0" quotePrefix="0" xfId="0">
      <alignment horizontal="center" vertical="top"/>
    </xf>
    <xf numFmtId="0" fontId="3" fillId="9" borderId="1" applyAlignment="1" pivotButton="0" quotePrefix="0" xfId="0">
      <alignment vertical="top" wrapText="1"/>
    </xf>
    <xf numFmtId="1" fontId="3" fillId="0" borderId="1" applyAlignment="1" pivotButton="0" quotePrefix="0" xfId="0">
      <alignment horizontal="center" vertical="top"/>
    </xf>
    <xf numFmtId="1" fontId="3" fillId="10" borderId="1" applyAlignment="1" pivotButton="0" quotePrefix="0" xfId="0">
      <alignment horizontal="center" vertical="top"/>
    </xf>
    <xf numFmtId="0" fontId="3" fillId="10" borderId="1" applyAlignment="1" pivotButton="0" quotePrefix="0" xfId="0">
      <alignment vertical="top" wrapText="1"/>
    </xf>
    <xf numFmtId="164" fontId="3" fillId="6" borderId="1" applyAlignment="1" pivotButton="0" quotePrefix="0" xfId="0">
      <alignment horizontal="center" vertical="top"/>
    </xf>
    <xf numFmtId="0" fontId="3" fillId="11" borderId="1" applyAlignment="1" pivotButton="0" quotePrefix="0" xfId="0">
      <alignment vertical="top" wrapText="1"/>
    </xf>
    <xf numFmtId="0" fontId="3" fillId="12" borderId="1" applyAlignment="1" pivotButton="0" quotePrefix="0" xfId="0">
      <alignment vertical="top" wrapText="1"/>
    </xf>
    <xf numFmtId="164" fontId="3" fillId="9" borderId="1" applyAlignment="1" pivotButton="0" quotePrefix="0" xfId="0">
      <alignment horizontal="center" vertical="top"/>
    </xf>
    <xf numFmtId="0" fontId="4" fillId="0" borderId="0" pivotButton="0" quotePrefix="0" xfId="0"/>
    <xf numFmtId="0" fontId="0" fillId="10" borderId="1" pivotButton="0" quotePrefix="0" xfId="0"/>
    <xf numFmtId="0" fontId="3" fillId="0" borderId="0" pivotButton="0" quotePrefix="0" xfId="0"/>
    <xf numFmtId="0" fontId="0" fillId="9" borderId="1" pivotButton="0" quotePrefix="0" xfId="0"/>
    <xf numFmtId="0" fontId="0" fillId="6" borderId="1" pivotButton="0" quotePrefix="0" xfId="0"/>
    <xf numFmtId="0" fontId="0" fillId="7" borderId="1" pivotButton="0" quotePrefix="0" xfId="0"/>
    <xf numFmtId="0" fontId="6" fillId="0" borderId="0" pivotButton="0" quotePrefix="0" xfId="0"/>
    <xf numFmtId="0" fontId="7" fillId="0" borderId="0" pivotButton="0" quotePrefix="0" xfId="0"/>
    <xf numFmtId="164" fontId="3" fillId="0" borderId="1" applyAlignment="1" pivotButton="0" quotePrefix="0" xfId="0">
      <alignment vertical="top" wrapText="1"/>
    </xf>
    <xf numFmtId="164" fontId="3" fillId="10" borderId="1" applyAlignment="1" pivotButton="0" quotePrefix="0" xfId="0">
      <alignment vertical="top" wrapText="1"/>
    </xf>
    <xf numFmtId="164" fontId="3" fillId="9" borderId="1" applyAlignment="1" pivotButton="0" quotePrefix="0" xfId="0">
      <alignment vertical="top" wrapText="1"/>
    </xf>
    <xf numFmtId="164" fontId="3" fillId="6" borderId="1" applyAlignment="1" pivotButton="0" quotePrefix="0" xfId="0">
      <alignment vertical="top" wrapText="1"/>
    </xf>
    <xf numFmtId="164" fontId="4" fillId="0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3" fontId="0" fillId="13" borderId="1" pivotButton="0" quotePrefix="0" xfId="0"/>
    <xf numFmtId="3" fontId="3" fillId="0" borderId="1" applyAlignment="1" pivotButton="0" quotePrefix="0" xfId="0">
      <alignment vertical="top" wrapText="1"/>
    </xf>
    <xf numFmtId="0" fontId="8" fillId="0" borderId="0" pivotButton="0" quotePrefix="0" xfId="0"/>
    <xf numFmtId="0" fontId="3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 vertical="top"/>
    </xf>
    <xf numFmtId="0" fontId="4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7" fillId="0" borderId="0" applyAlignment="1" pivotButton="0" quotePrefix="0" xfId="0">
      <alignment vertical="top" wrapText="1"/>
    </xf>
    <xf numFmtId="0" fontId="3" fillId="0" borderId="1" applyAlignment="1" pivotButton="0" quotePrefix="0" xfId="0">
      <alignment horizontal="center" vertical="top"/>
    </xf>
    <xf numFmtId="0" fontId="9" fillId="0" borderId="0" applyAlignment="1" pivotButton="0" quotePrefix="0" xfId="0">
      <alignment horizontal="center" vertical="center" wrapText="1"/>
    </xf>
    <xf numFmtId="0" fontId="3" fillId="8" borderId="1" applyAlignment="1" pivotButton="0" quotePrefix="0" xfId="0">
      <alignment horizontal="center" vertical="top"/>
    </xf>
    <xf numFmtId="165" fontId="3" fillId="0" borderId="1" applyAlignment="1" pivotButton="0" quotePrefix="0" xfId="0">
      <alignment horizontal="center" vertical="top"/>
    </xf>
    <xf numFmtId="9" fontId="3" fillId="8" borderId="1" applyAlignment="1" pivotButton="0" quotePrefix="0" xfId="0">
      <alignment vertical="top" wrapText="1"/>
    </xf>
    <xf numFmtId="165" fontId="3" fillId="0" borderId="1" applyAlignment="1" pivotButton="0" quotePrefix="0" xfId="0">
      <alignment vertical="top" wrapText="1"/>
    </xf>
    <xf numFmtId="0" fontId="4" fillId="0" borderId="1" applyAlignment="1" pivotButton="0" quotePrefix="0" xfId="0">
      <alignment horizontal="center" vertical="top"/>
    </xf>
    <xf numFmtId="0" fontId="4" fillId="0" borderId="1" applyAlignment="1" pivotButton="0" quotePrefix="0" xfId="0">
      <alignment horizontal="center"/>
    </xf>
    <xf numFmtId="1" fontId="3" fillId="0" borderId="1" applyAlignment="1" pivotButton="0" quotePrefix="0" xfId="0">
      <alignment horizontal="center"/>
    </xf>
    <xf numFmtId="166" fontId="3" fillId="8" borderId="1" applyAlignment="1" pivotButton="0" quotePrefix="0" xfId="0">
      <alignment vertical="top" wrapText="1"/>
    </xf>
    <xf numFmtId="2" fontId="3" fillId="8" borderId="1" applyAlignment="1" pivotButton="0" quotePrefix="0" xfId="0">
      <alignment vertical="top" wrapText="1"/>
    </xf>
    <xf numFmtId="3" fontId="3" fillId="8" borderId="1" applyAlignment="1" pivotButton="0" quotePrefix="0" xfId="0">
      <alignment vertical="top" wrapText="1"/>
    </xf>
    <xf numFmtId="3" fontId="4" fillId="0" borderId="1" applyAlignment="1" pivotButton="0" quotePrefix="0" xfId="0">
      <alignment vertical="top" wrapText="1"/>
    </xf>
    <xf numFmtId="167" fontId="3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V43"/>
  <sheetViews>
    <sheetView zoomScale="90" workbookViewId="0">
      <pane xSplit="4" ySplit="2" topLeftCell="E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13" customWidth="1" min="2" max="2"/>
    <col width="30" customWidth="1" min="3" max="3"/>
    <col width="34" customWidth="1" min="4" max="4"/>
    <col width="40" customWidth="1" min="5" max="5"/>
    <col width="46" customWidth="1" min="6" max="6"/>
    <col width="50" customWidth="1" min="7" max="7"/>
    <col width="38" customWidth="1" min="8" max="8"/>
    <col width="46" customWidth="1" min="9" max="9"/>
    <col width="34" customWidth="1" min="10" max="10"/>
    <col width="28" customWidth="1" min="11" max="11"/>
    <col width="36" customWidth="1" min="12" max="12"/>
    <col width="11" customWidth="1" min="13" max="13"/>
    <col width="11" customWidth="1" min="14" max="14"/>
    <col width="24" customWidth="1" min="15" max="15"/>
    <col width="34" customWidth="1" min="16" max="16"/>
    <col width="28" customWidth="1" min="17" max="17"/>
    <col width="36" customWidth="1" min="18" max="18"/>
    <col width="11" customWidth="1" min="19" max="19"/>
    <col width="11" customWidth="1" min="20" max="20"/>
    <col width="24" customWidth="1" min="21" max="21"/>
    <col width="26" customWidth="1" min="22" max="22"/>
  </cols>
  <sheetData>
    <row r="1" ht="22" customHeight="1">
      <c r="A1" s="1" t="inlineStr">
        <is>
          <t>Что это</t>
        </is>
      </c>
      <c r="B1" s="1" t="n"/>
      <c r="C1" s="1" t="n"/>
      <c r="D1" s="1" t="n"/>
      <c r="E1" s="2" t="inlineStr">
        <is>
          <t>Сейчас (прототип)</t>
        </is>
      </c>
      <c r="F1" s="2" t="n"/>
      <c r="G1" s="2" t="n"/>
      <c r="H1" s="2" t="n"/>
      <c r="I1" s="2" t="n"/>
      <c r="J1" s="3" t="inlineStr">
        <is>
          <t>MVP — 8 000 абонентов</t>
        </is>
      </c>
      <c r="K1" s="3" t="n"/>
      <c r="L1" s="3" t="n"/>
      <c r="M1" s="3" t="n"/>
      <c r="N1" s="3" t="n"/>
      <c r="O1" s="3" t="n"/>
      <c r="P1" s="4" t="inlineStr">
        <is>
          <t>Тираж — 90 000 абонентов</t>
        </is>
      </c>
      <c r="Q1" s="4" t="n"/>
      <c r="R1" s="4" t="n"/>
      <c r="S1" s="4" t="n"/>
      <c r="T1" s="4" t="n"/>
      <c r="U1" s="4" t="n"/>
      <c r="V1" s="1" t="inlineStr"/>
    </row>
    <row r="2" ht="44" customHeight="1">
      <c r="A2" s="5" t="inlineStr">
        <is>
          <t>№</t>
        </is>
      </c>
      <c r="B2" s="5" t="inlineStr">
        <is>
          <t>Тип</t>
        </is>
      </c>
      <c r="C2" s="5" t="inlineStr">
        <is>
          <t>Контейнер / связь</t>
        </is>
      </c>
      <c r="D2" s="5" t="inlineStr">
        <is>
          <t>Какие контейнеры затрагивает</t>
        </is>
      </c>
      <c r="E2" s="6" t="inlineStr">
        <is>
          <t>Технология и стек (что именно используется)</t>
        </is>
      </c>
      <c r="F2" s="6" t="inlineStr">
        <is>
          <t>Как реализовано сейчас</t>
        </is>
      </c>
      <c r="G2" s="6" t="inlineStr">
        <is>
          <t>С чем сравнивали и почему выбрано</t>
        </is>
      </c>
      <c r="H2" s="6" t="inlineStr">
        <is>
          <t>Где сравнение (документ, раздел)</t>
        </is>
      </c>
      <c r="I2" s="6" t="inlineStr">
        <is>
          <t>Проблемы</t>
        </is>
      </c>
      <c r="J2" s="7" t="inlineStr">
        <is>
          <t>Что будет</t>
        </is>
      </c>
      <c r="K2" s="7" t="inlineStr">
        <is>
          <t>Стек</t>
        </is>
      </c>
      <c r="L2" s="7" t="inlineStr">
        <is>
          <t>Почему</t>
        </is>
      </c>
      <c r="M2" s="7" t="inlineStr">
        <is>
          <t>Доработки, чел-дн (мин)</t>
        </is>
      </c>
      <c r="N2" s="7" t="inlineStr">
        <is>
          <t>Доработки, чел-дн (макс)</t>
        </is>
      </c>
      <c r="O2" s="7" t="inlineStr">
        <is>
          <t>Основа оценки</t>
        </is>
      </c>
      <c r="P2" s="8" t="inlineStr">
        <is>
          <t>Что будет</t>
        </is>
      </c>
      <c r="Q2" s="8" t="inlineStr">
        <is>
          <t>Стек</t>
        </is>
      </c>
      <c r="R2" s="8" t="inlineStr">
        <is>
          <t>Почему</t>
        </is>
      </c>
      <c r="S2" s="8" t="inlineStr">
        <is>
          <t>Доработки, чел-дн (мин)</t>
        </is>
      </c>
      <c r="T2" s="8" t="inlineStr">
        <is>
          <t>Доработки, чел-дн (макс)</t>
        </is>
      </c>
      <c r="U2" s="8" t="inlineStr">
        <is>
          <t>Основа оценки</t>
        </is>
      </c>
      <c r="V2" s="5" t="inlineStr">
        <is>
          <t>Источники</t>
        </is>
      </c>
    </row>
    <row r="3">
      <c r="A3" s="9" t="n">
        <v>1</v>
      </c>
      <c r="B3" s="10" t="inlineStr">
        <is>
          <t>Контейнер</t>
        </is>
      </c>
      <c r="C3" s="11" t="inlineStr">
        <is>
          <t>AI-виджет (интерфейс абонента)</t>
        </is>
      </c>
      <c r="D3" s="9" t="inlineStr">
        <is>
          <t>AI-виджет; Backend (на прототипе отдаёт статику виджета)</t>
        </is>
      </c>
      <c r="E3" s="9" t="inlineStr">
        <is>
          <t>HTML + JavaScript без фреймворка и сборки + CSS (каталог `web/`); поток ответа — fetch и чтение SSE</t>
        </is>
      </c>
      <c r="F3" s="9" t="inlineStr">
        <is>
          <t>Три статических файла: HTML / JS / CSS (`web/`), отдаются самим Backend; ответ приходит потоком (SSE). Оформлен как личный кабинет.</t>
        </is>
      </c>
      <c r="G3" s="9" t="inlineStr">
        <is>
          <t>React/TS (целевой) на прототипе отклонён: ничего архитектурного не проверил бы, но потребовал бы второго процесса на демонстрации.</t>
        </is>
      </c>
      <c r="H3" s="9" t="inlineStr">
        <is>
          <t>ADR-200, раздел «Сравнение вариантов по слоям», подраздел «Интерфейс абонента: виджет»</t>
        </is>
      </c>
      <c r="I3" s="9" t="inlineStr">
        <is>
          <t>Это демо-стенд, а не продукт. Нет настоящей SSO: абонент выбирается из справочника, идентификатор берётся из метаданных запроса.</t>
        </is>
      </c>
      <c r="J3" s="9" t="inlineStr">
        <is>
          <t>Виджет, встроенный в личный кабинет, с SSO-сессией.</t>
        </is>
      </c>
      <c r="K3" s="9" t="inlineStr">
        <is>
          <t>React / TypeScript, сборка в образ `ai-widget`, за Ingress (nginx).</t>
        </is>
      </c>
      <c r="L3" s="9" t="inlineStr">
        <is>
          <t>Встраивание в существующий ЛК; целевая схема развёртывания (`C4_Deployment`).</t>
        </is>
      </c>
      <c r="M3" s="12" t="n">
        <v>10</v>
      </c>
      <c r="N3" s="12" t="n">
        <v>15</v>
      </c>
      <c r="O3" s="13" t="inlineStr">
        <is>
          <t>Оценка автора</t>
        </is>
      </c>
      <c r="P3" s="14" t="inlineStr">
        <is>
          <t>Без изменений</t>
        </is>
      </c>
      <c r="Q3" s="15" t="n"/>
      <c r="R3" s="15" t="n"/>
      <c r="S3" s="16" t="n"/>
      <c r="T3" s="16" t="n"/>
      <c r="U3" s="15" t="n"/>
      <c r="V3" s="9" t="inlineStr">
        <is>
          <t>ADR-100; C4_L3_Widget; C4_Deployment</t>
        </is>
      </c>
    </row>
    <row r="4">
      <c r="A4" s="9" t="n">
        <v>2</v>
      </c>
      <c r="B4" s="10" t="inlineStr">
        <is>
          <t>Контейнер</t>
        </is>
      </c>
      <c r="C4" s="11" t="inlineStr">
        <is>
          <t>Backend (API, классификация, поиск, сборка ответа)</t>
        </is>
      </c>
      <c r="D4" s="9" t="inlineStr">
        <is>
          <t>Backend</t>
        </is>
      </c>
      <c r="E4" s="9" t="inlineStr">
        <is>
          <t>Python 3.12; FastAPI; uvicorn; pydantic v2; httpx; контейнер docker (multi-stage)</t>
        </is>
      </c>
      <c r="F4" s="9" t="inlineStr">
        <is>
          <t>Python 3.12 + веб-фреймворк FastAPI + сервер запуска uvicorn (ASGI: принимает HTTP-запросы и вызывает код FastAPI). В контейнере (multi-stage `Dockerfile`), поднимается `docker compose up`. Внутри: Triage, поиск по базе знаний, шесть путей ответа, FSM.</t>
        </is>
      </c>
      <c r="G4" s="9" t="inlineStr">
        <is>
          <t>Язык: Go и Node.js — отклонены: нет зрелого RAG/PII-инструментария (LiteLLM, sentence-transformers, Presidio живут в Python), а RAG-логика обязана быть внутри одного контейнера; выигрыш Go в конкурентности не нужен, узкое место — задержка внешней модели. Фреймворк: FastAPI выбран против Flask, Django REST Framework и Litestar — родные async и потоковый ответ, pydantic-схемы и OpenAPI из тех же моделей, лёгкий вес; Flask и DRF дублируют описание моделей и требуют расширений, Litestar не даёт выигрыша при меньшем сообществе. Сервер: uvicorn выбран против Hypercorn, Daphne, Granian и gunicorn — стандартный сервер FastAPI, минимум настроек; остальным нечего добавить проекту (внешний трафик и TLS закрывает Ingress, скорость Rust-ядра не нужна, менеджер процессов заменяет Kubernetes). Подробно — ADR-200.</t>
        </is>
      </c>
      <c r="H4" s="9" t="inlineStr">
        <is>
          <t>ADR-200: «Почему Python, а не Go или Node.js», «Почему FastAPI, а не другой Python-фреймворк», «Почему uvicorn»</t>
        </is>
      </c>
      <c r="I4" s="9" t="inlineStr">
        <is>
          <t>Проверка «идентификатор абонента принадлежит сессии» на шагах записи спроектирована, но не реализована (открытый P1). В compose включён режим разработки (`--reload`, подключённые каталоги).</t>
        </is>
      </c>
      <c r="J4" s="9" t="inlineStr">
        <is>
          <t>Те же контейнеры в Kubernetes, несколько реплик; проверка привязки абонента к сессии на каждом шаге записи; продовый режим запуска.</t>
        </is>
      </c>
      <c r="K4" s="9" t="inlineStr">
        <is>
          <t>Python / FastAPI, uvicorn без режима перезагрузки и без подключённых каталогов; Deployment в Kubernetes, секреты из Vault.</t>
        </is>
      </c>
      <c r="L4" s="9" t="inlineStr">
        <is>
          <t>Без привязки сессии запись от имени абонента включать нельзя (риск подмены, ADR-400).</t>
        </is>
      </c>
      <c r="M4" s="17" t="n">
        <v>3</v>
      </c>
      <c r="N4" s="17" t="n">
        <v>4</v>
      </c>
      <c r="O4" s="18" t="inlineStr">
        <is>
          <t>Из блока ADR-600: Основная разработка Этапа 2</t>
        </is>
      </c>
      <c r="P4" s="14" t="inlineStr">
        <is>
          <t>Без изменений</t>
        </is>
      </c>
      <c r="Q4" s="15" t="n"/>
      <c r="R4" s="15" t="n"/>
      <c r="S4" s="16" t="n"/>
      <c r="T4" s="16" t="n"/>
      <c r="U4" s="15" t="n"/>
      <c r="V4" s="9" t="inlineStr">
        <is>
          <t>ADR-200; ADR-400; ADR-600</t>
        </is>
      </c>
    </row>
    <row r="5">
      <c r="A5" s="9" t="n">
        <v>3</v>
      </c>
      <c r="B5" s="10" t="inlineStr">
        <is>
          <t>Контейнер</t>
        </is>
      </c>
      <c r="C5" s="11" t="inlineStr">
        <is>
          <t>Классификатор обращений (Triage)</t>
        </is>
      </c>
      <c r="D5" s="9" t="inlineStr">
        <is>
          <t>Backend (модуль Triage); embedding-inference (эмбеддер для запасного k-NN)</t>
        </is>
      </c>
      <c r="E5" s="9" t="inlineStr">
        <is>
          <t>Python: регулярные выражения `re` и словарь ключевых слов; запасной k-NN — sentence-transformers, multilingual-e5-small (CPU), косинусная близость</t>
        </is>
      </c>
      <c r="F5" s="9" t="inlineStr">
        <is>
          <t>Python, без модели на основном пути. Тема (путь ответа): подстроки и регулярные выражения — `TOPIC_MARKERS`, `TARIFF_PATTERNS`, `WATER_QUALITY_PATTERNS`, `TEMPLATE_PATTERNS`, `ACCOUNT_PATTERNS` в `app/agents/triage.py`. Тип обращения (регистрация): словарь ключевых слов `KEYWORDS` в `app/taxonomy.py`, слова взяты из 136 настоящих обращений (на отложенной трети выборки охват 75%, точность 65%; выборка мала). Когда правила молчат — запасной k-NN по эмбеддингам (косинусная близость к размеченным примерам `EXAMPLES` в `app/agents/topic_fallback.py` и `app/agents/inquiry_type_fallback.py`); эмбеддер — `multilingual-e5-small` на CPU, тот же, что у поиска (вторая модель не грузится). Запасной классификатор типа знает 7 из 16 типов. Все правила и слова по каждому типу и теме, их проработка и этап сведены в таблице `Inquiry_Types.xlsx`.</t>
        </is>
      </c>
      <c r="G5" s="9" t="inlineStr">
        <is>
          <t>Отдельный вызов LLM на каждый запрос отклонён: стоимость и задержка ради задачи, которую решают правила. k-NN переиспользует уже загруженный эмбеддер, вторая модель не нужна.</t>
        </is>
      </c>
      <c r="H5" s="9" t="inlineStr">
        <is>
          <t>ADR-300, раздел 1 «Классификация» (правила / LLM-классификатор / k-NN); слова и статистика — Inquiry_Types.xlsx</t>
        </is>
      </c>
      <c r="I5" s="9" t="inlineStr">
        <is>
          <t>9 типов из 16 запасной классификатор не знает: refund, debt, payment, penalty, accrual_recalculation, inquiry_cancellation, meter_reacceptance, meter_reacceptance_auto, other. По ним работают только ключевые слова. Реальные тексты по этим типам — споры, а не заявки, нужен размеченный корпус вопросов-заявок (его пока нет). Пороги k-NN подобраны замером на e5-small и не переносятся на другую модель.</t>
        </is>
      </c>
      <c r="J5" s="9" t="inlineStr">
        <is>
          <t>Сначала анализ всех типов на живых обращениях (строка «Анализ всех типов…» ниже), затем заново собранная таблица типов; расширение запасного классификатора на оставшиеся девять типов; устранение найденных ложных срабатываний; пересчёт порогов k-NN под новую модель эмбеддингов.</t>
        </is>
      </c>
      <c r="K5" s="9" t="inlineStr">
        <is>
          <t>Правила и словарь — как сейчас; k-NN на эмбеддере поиска (предварительно BGE-M3, GPU); пороги подбираются заново, окончательная модель — по итогам анализа на живых обращениях.</t>
        </is>
      </c>
      <c r="L5" s="9" t="inlineStr">
        <is>
          <t>Чтобы обращения по всем типам справочника регистрировались автоматически. Пороги надо подбирать заново: их величина — свойство пары «модель + примеры». Оценка в этой строке — только расширение классификатора и подбор порогов: 1,5–2,5 недели после появления размеченного корпуса (ADR-600). Анализ на живых данных и пересборка таблицы — 13–19 чел-дн в строке «Анализ всех типов…»; вместе с ним работа над классификатором — 23–34 чел-дн.</t>
        </is>
      </c>
      <c r="M5" s="17" t="n">
        <v>8</v>
      </c>
      <c r="N5" s="17" t="n">
        <v>12</v>
      </c>
      <c r="O5" s="18" t="inlineStr">
        <is>
          <t>Из блока ADR-600: Качество поиска и классификации</t>
        </is>
      </c>
      <c r="P5" s="9" t="inlineStr">
        <is>
          <t>Как на MVP (изменений нет).</t>
        </is>
      </c>
      <c r="Q5" s="9" t="inlineStr">
        <is>
          <t>Те же правила; k-NN на эмбеддере поиска (модель — по решению для MVP и тиража).</t>
        </is>
      </c>
      <c r="R5" s="9" t="inlineStr">
        <is>
          <t>Собственная модель генерации на тираже классификацию не затрагивает: k-NN использует эмбеддер поиска.</t>
        </is>
      </c>
      <c r="S5" s="19" t="n"/>
      <c r="T5" s="19" t="n"/>
      <c r="U5" s="9" t="n"/>
      <c r="V5" s="9" t="inlineStr">
        <is>
          <t>ADR-300; ADR-600; Inquiry_Types.xlsx</t>
        </is>
      </c>
    </row>
    <row r="6">
      <c r="A6" s="9" t="n">
        <v>4</v>
      </c>
      <c r="B6" s="10" t="inlineStr">
        <is>
          <t>Контейнер</t>
        </is>
      </c>
      <c r="C6" s="11" t="inlineStr">
        <is>
          <t>LLM Gateway (лимиты → PII → модель → проверка)</t>
        </is>
      </c>
      <c r="D6" s="9" t="inlineStr">
        <is>
          <t>LLM Gateway (сейчас внутри Backend); Redis (лимиты); LLM Provider; Postgres (события использования)</t>
        </is>
      </c>
      <c r="E6" s="9" t="inlineStr">
        <is>
          <t>Python; LiteLLM (Router); Redis; Presidio + spaCy (обезличивание); prometheus-client; PostgreSQL</t>
        </is>
      </c>
      <c r="F6" s="9" t="inlineStr">
        <is>
          <t>Python-модуль внутри контейнера Backend (`app/gateway/`), работает по цепочке: лимиты запросов (Redis) → обезличивание (Presidio + русская модель spaCy + собственные распознаватели) → вызов модели через LiteLLM → проверка ответа на потоке (регулярные выражения) → запись события использования (Postgres) и метрики (prometheus-client). LiteLLM подключён библиотекой (`Router`) внутри процесса по конфигурации `litellm_config.yaml`: единый OpenAI-совместимый интерфейс, повторы и переключение на запасного провайдера при сбое; YandexGPT вызывается через OpenAI-совместимый адрес. К шлюзу ходит только Backend.</t>
        </is>
      </c>
      <c r="G6" s="9" t="inlineStr">
        <is>
          <t>Свой клиент на каждого провайдера отклонён: дублирование ради контроля, который LiteLLM уже даёт (100+ адаптеров, единый интерфейс, повторы и circuit breaker). Отдельный прокси-сервер LiteLLM на прототипе не взят: это второй процесс со своим портом и конфигурацией, память отдельного процесса LiteLLM не измерялась (на машине 15 ГБ, контейнер Backend занимает 1,32 ГиБ); библиотека принимает тот же список моделей и цепочки запасных провайдеров, формат файла совместим с прокси. Смена провайдера — правка переменной `LLM_PROVIDER`, код не меняется: это условие ADR-200 (минимум два провайдера с автопереключением). Весь нужный инструментарий (LiteLLM, Presidio, sentence-transformers) существует в Python — тот же язык, что у Backend. Зарубежные провайдеры исключены: 152-ФЗ.</t>
        </is>
      </c>
      <c r="H6" s="9" t="inlineStr">
        <is>
          <t>ADR-200, раздел «LLM-хостинг»: таблица стратегии и шлюза, подраздел «Как устроен шлюз к модели»</t>
        </is>
      </c>
      <c r="I6" s="9" t="inlineStr">
        <is>
          <t>Отдельного контейнера нет — шлюз пока внутри Backend. GigaChat на прототипе недоступен (нужны сертификаты НУЦ), поэтому целевой основной провайдер MVP на машине прототипа не проверен. Проверки ответа — регулярные выражения; тонкие случаи (тон, обоснованность) ловятся слабо, обоснованность оценивает отдельный судья.</t>
        </is>
      </c>
      <c r="J6" s="9" t="inlineStr">
        <is>
          <t>Отдельный контейнер `llm-gateway`; через него ходят и Backend, и агент записи.</t>
        </is>
      </c>
      <c r="K6" s="9" t="inlineStr">
        <is>
          <t>Python / LiteLLM (Router или прокси — решается при выносе; формат конфигурации совместим), отдельный Deployment; Redis для лимитов; Presidio; события использования — в Postgres; GigaChat Pro основной, YandexGPT резерв.</t>
        </is>
      </c>
      <c r="L6" s="9" t="inlineStr">
        <is>
          <t>Единый обязательный путь для всех потребителей: обхода обезличивания на Этапе 2 быть не должно.</t>
        </is>
      </c>
      <c r="M6" s="12" t="n">
        <v>3</v>
      </c>
      <c r="N6" s="12" t="n">
        <v>5</v>
      </c>
      <c r="O6" s="13" t="inlineStr">
        <is>
          <t>Оценка автора</t>
        </is>
      </c>
      <c r="P6" s="14" t="inlineStr">
        <is>
          <t>Без изменений</t>
        </is>
      </c>
      <c r="Q6" s="15" t="n"/>
      <c r="R6" s="15" t="n"/>
      <c r="S6" s="16" t="n"/>
      <c r="T6" s="16" t="n"/>
      <c r="U6" s="15" t="n"/>
      <c r="V6" s="9" t="inlineStr">
        <is>
          <t>ADR-200; C4_L3_LLM</t>
        </is>
      </c>
    </row>
    <row r="7">
      <c r="A7" s="9" t="n">
        <v>5</v>
      </c>
      <c r="B7" s="10" t="inlineStr">
        <is>
          <t>Контейнер</t>
        </is>
      </c>
      <c r="C7" s="11" t="inlineStr">
        <is>
          <t>PII Filter (обезличивание)</t>
        </is>
      </c>
      <c r="D7" s="9" t="inlineStr">
        <is>
          <t>LLM Gateway (Backend)</t>
        </is>
      </c>
      <c r="E7" s="9" t="inlineStr">
        <is>
          <t>Python; Presidio (analyzer, anonymizer); spaCy ru_core_news_md; собственные распознаватели СНИЛС, ИНН, лицевого счёта, телефона, email</t>
        </is>
      </c>
      <c r="F7" s="9" t="inlineStr">
        <is>
          <t>Presidio + собственные распознаватели (СНИЛС и ИНН с контрольными суммами, лицевой счёт, телефон, email), русская модель spaCy. Стоит в шлюзе до обращения к провайдеру.</t>
        </is>
      </c>
      <c r="G7" s="9" t="inlineStr">
        <is>
          <t>Presidio + собственные распознаватели выбраны против «только регулярных выражений» (не находят ФИО), русского NER вроде Natasha (по документации — имена и адреса, но не СНИЛС, ИНН, лицевой счёт, телефон, почту; не проверялась) и внешнего сервиса (данные уходят за периметр, запрещено). Базовый набор Presidio один не годился: лицевой счёт определялся как телефон, одна почта получала три метки.</t>
        </is>
      </c>
      <c r="H7" s="9" t="inlineStr">
        <is>
          <t>ADR-400, раздел «Сравнение вариантов по слоям безопасности», подраздел «Почему Presidio и собственные распознаватели»; подраздел «Модель разбора языка для обезличивания: что будет сравниваться»</t>
        </is>
      </c>
      <c r="I7" s="9" t="inlineStr">
        <is>
          <t>Эмбеддинг запроса минует фильтр, поэтому онлайн-эмбеддинги допустимы только локальные (внешний API для запроса запрещён).</t>
        </is>
      </c>
      <c r="J7" s="9" t="inlineStr">
        <is>
          <t>Проверка полноты обезличивания на размеченных живых обращениях (ФИО, адрес, телефон, лицевой счёт, почта): сколько ПДн пропущено; сравнение моделей разбора языка (spaCy md / sm / lg, Natasha); правка распознавателей.</t>
        </is>
      </c>
      <c r="K7" s="9" t="inlineStr">
        <is>
          <t>Presidio + spaCy (модель выбирается по замеру) + собственные распознаватели; скрипты замера полноты и точности.</t>
        </is>
      </c>
      <c r="L7" s="9" t="inlineStr">
        <is>
          <t>Для 152-ФЗ пропуск ПДн опаснее ложной находки, а полнота на живых данных не измерялась: измерены только ложные находки на 136 обращениях.</t>
        </is>
      </c>
      <c r="M7" s="17" t="n">
        <v>4</v>
      </c>
      <c r="N7" s="17" t="n">
        <v>6</v>
      </c>
      <c r="O7" s="18" t="inlineStr">
        <is>
          <t>Из блока ADR-600: Качество поиска и классификации</t>
        </is>
      </c>
      <c r="P7" s="14" t="inlineStr">
        <is>
          <t>Без изменений</t>
        </is>
      </c>
      <c r="Q7" s="15" t="n"/>
      <c r="R7" s="15" t="n"/>
      <c r="S7" s="16" t="n"/>
      <c r="T7" s="16" t="n"/>
      <c r="U7" s="15" t="n"/>
      <c r="V7" s="9" t="inlineStr">
        <is>
          <t>ADR-400; ADR-600</t>
        </is>
      </c>
    </row>
    <row r="8">
      <c r="A8" s="9" t="n">
        <v>6</v>
      </c>
      <c r="B8" s="10" t="inlineStr">
        <is>
          <t>Контейнер</t>
        </is>
      </c>
      <c r="C8" s="11" t="inlineStr">
        <is>
          <t>Guardrails и судья качества</t>
        </is>
      </c>
      <c r="D8" s="9" t="inlineStr">
        <is>
          <t>LLM Gateway (проверки на потоке); Backend (фоновая оценка); Ollama (локальная модель судьи на прототипе)</t>
        </is>
      </c>
      <c r="E8" s="9" t="inlineStr">
        <is>
          <t>Python: регулярные выражения для проверок на потоке; судья — LiteLLM → Qwen2.5-7B через Ollama (прототип), YandexGPT (MVP)</t>
        </is>
      </c>
      <c r="F8" s="9" t="inlineStr">
        <is>
          <t>Назначение: проверить ответ модели до показа абоненту — персональные данные, недопустимый тон, разглашение внутренних инструкций. Синхронно (бюджет 50 мс; замер 24.09.2026: на ответе ≈800 знаков P95 ≈49 мс, на ≈2 000 знаков P95 ≈120 мс — на длинных ответах бюджет не держится, проверяется весь накопленный текст): ПДн в ответе, тон, разглашение промпта — при нарушении поток обрывается. Асинхронно: судья обоснованности (локальная Qwen2.5-7B через Ollama), не блокирует выдачу.</t>
        </is>
      </c>
      <c r="G8" s="9" t="inlineStr">
        <is>
          <t>Проверки на потоке — регулярные выражения (бюджет менее 50 мс на кусок; ML-модель токсичности не измерялась (на CPU есть риск), LLM-судья работает секундами — у YandexGPT первый кусок приходит за 0,3–21 с (19 вызовов), внешний сервис уносит данные за периметр). Судья не может совпадать с отвечающей моделью: при совпадении оценка пропускается и это фиксируется.</t>
        </is>
      </c>
      <c r="H8" s="9" t="inlineStr">
        <is>
          <t>ADR-300, раздел 5 «Судья качества ответа» и подраздел «Судья качества: какие модели и что будет сравниваться»; ADR-400, раздел «Сравнение вариантов по слоям безопасности», подраздел «Почему проверки ответа — регулярные выражения на потоке» (проверки на потоке)</t>
        </is>
      </c>
      <c r="I8" s="9" t="inlineStr">
        <is>
          <t>Проверки на потоке подобраны без живых ответов модели: частота ложных блокировок и пропусков неизвестна. Судья слабый, оценка предварительная (provisional): пороги качества не откалиброваны на размеченном наборе.</t>
        </is>
      </c>
      <c r="J8" s="9" t="inlineStr">
        <is>
          <t>Судья на другом провайдере, чем отвечающая модель; тест нескольких моделей судьи (Qwen2.5-7B, Qwen2.5-14B/32B, YandexGPT, GigaChat Pro) против ручной разметки 100–200 живых ответов; калибровка порогов (6–9 чел-дн). Проверка работоспособности проверок на живых данных (ложные блокировки, пропуски ПДн, тона и разглашения промпта) — в строке «Проверка на живых данных: Guardrails и выбор провайдера» ниже.</t>
        </is>
      </c>
      <c r="K8" s="9" t="inlineStr">
        <is>
          <t>Судья — YandexGPT при отвечающем GigaChat Pro или наоборот (по решению об основном провайдере); выбор модели судьи — по замеру согласия с человеком.</t>
        </is>
      </c>
      <c r="L8" s="9" t="inlineStr">
        <is>
          <t>Независимость оценки обеспечена конструктивно, а не договорённостью.</t>
        </is>
      </c>
      <c r="M8" s="17" t="n">
        <v>6</v>
      </c>
      <c r="N8" s="17" t="n">
        <v>9</v>
      </c>
      <c r="O8" s="18" t="inlineStr">
        <is>
          <t>Из блока ADR-600: Качество поиска и классификации</t>
        </is>
      </c>
      <c r="P8" s="14" t="inlineStr">
        <is>
          <t>Без изменений</t>
        </is>
      </c>
      <c r="Q8" s="15" t="n"/>
      <c r="R8" s="15" t="n"/>
      <c r="S8" s="16" t="n"/>
      <c r="T8" s="16" t="n"/>
      <c r="U8" s="15" t="n"/>
      <c r="V8" s="9" t="inlineStr">
        <is>
          <t>ADR-300; C4_L3_LLM</t>
        </is>
      </c>
    </row>
    <row r="9">
      <c r="A9" s="9" t="n">
        <v>7</v>
      </c>
      <c r="B9" s="10" t="inlineStr">
        <is>
          <t>Контейнер</t>
        </is>
      </c>
      <c r="C9" s="11" t="inlineStr">
        <is>
          <t>LLM Provider (генерация ответа)</t>
        </is>
      </c>
      <c r="D9" s="9" t="inlineStr">
        <is>
          <t>LLM Gateway; внешний LLM Provider (YandexGPT / GigaChat); Ollama (тесты)</t>
        </is>
      </c>
      <c r="E9" s="9" t="inlineStr">
        <is>
          <t>YandexGPT Pro (управляемый API, РФ); LiteLLM; Qwen2.5-7B через Ollama для тестов</t>
        </is>
      </c>
      <c r="F9" s="9" t="inlineStr">
        <is>
          <t>YandexGPT Pro — управляемый API в РФ. Для тестов локально Qwen2.5-7B (Ollama). Время до первого куска по 19 вызовам: медиана 0,78 с, P90 5,6 с, максимум 21,7 с (ориентир 0,5 с не достигнут); до конца ответа — медиана 2,6 с.</t>
        </is>
      </c>
      <c r="G9" s="9" t="inlineStr">
        <is>
          <t>GigaChat технически недоступен на машине прототипа (нужны корневые сертификаты НУЦ; отключать проверку TLS недопустимо). Зарубежные провайдеры отклонены на всех этапах: 152-ФЗ. Собственная модель тиража: Qwen2.5-32B выбран против Llama 3.x и открытых весов GigaChat — лицензия Apache 2.0, сильный русский среди открытых моделей, одно семейство 7B (уже используется для тестов) → 32B без переделки, 32B в INT4 помещается на одну карту A100 (в проекте заложено 34 ГБ весов плюс запас под кэш; на GPU не проверялось, а для INT4 по общим сведениям ожидается около 17–20 ГБ — 34 ГБ скорее соответствуют 8-битному представлению). Выбор сделан по репутации модели, на своём эталонном наборе не проверен; прогон запланирован при переходе к тиражу (3–5 чел-дн, ADR-600).</t>
        </is>
      </c>
      <c r="H9" s="9" t="inlineStr">
        <is>
          <t>ADR-300, раздел 4 «Генерация ответа абоненту» и подраздел «Сравнение семейства self-hosted-модели»; стоимость — ADR-500</t>
        </is>
      </c>
      <c r="I9" s="9" t="inlineStr">
        <is>
          <t>Ни YandexGPT, ни GigaChat не проверены на живых вопросах абонентов; GigaChat на прототипе недоступен. Качество ответов не измерено на собственном эталонном наборе; выбор модели по репутации.</t>
        </is>
      </c>
      <c r="J9" s="9" t="inlineStr">
        <is>
          <t>GigaChat Pro как основная, YandexGPT как резерв с автопереключением — предварительно: оба провайдера проверяются на ограниченном объёме живых вопросов, после чего принимается решение об основном и запасном (строка «Проверка на живых данных…» ниже).</t>
        </is>
      </c>
      <c r="K9" s="9" t="inlineStr">
        <is>
          <t>Управляемые API в РФ через LLM Gateway.</t>
        </is>
      </c>
      <c r="L9" s="9" t="inlineStr">
        <is>
          <t>Ранее выбран основным по совокупности; резерв защищает от отказа провайдера.</t>
        </is>
      </c>
      <c r="M9" s="12" t="n">
        <v>3</v>
      </c>
      <c r="N9" s="12" t="n">
        <v>5</v>
      </c>
      <c r="O9" s="13" t="inlineStr">
        <is>
          <t>Оценка автора</t>
        </is>
      </c>
      <c r="P9" s="9" t="inlineStr">
        <is>
          <t>Собственная модель в закрытом контуре, внешние API остаются до срабатывания триггера.</t>
        </is>
      </c>
      <c r="Q9" s="9" t="inlineStr">
        <is>
          <t>Qwen2.5-32B INT4, vLLM, 1× GPU A100 80 ГБ.</t>
        </is>
      </c>
      <c r="R9" s="9" t="inlineStr">
        <is>
          <t>Включается по триггеру (нагрузка, требование ИБ отказаться от внешних API, падение SLA провайдера), не по дате. Одна карта с запасом покрывает пик 3,4–6,75 запроса.</t>
        </is>
      </c>
      <c r="S9" s="20" t="n">
        <v>5</v>
      </c>
      <c r="T9" s="20" t="n">
        <v>10</v>
      </c>
      <c r="U9" s="21" t="inlineStr">
        <is>
          <t>ADR-600</t>
        </is>
      </c>
      <c r="V9" s="9" t="inlineStr">
        <is>
          <t>ADR-300; ADR-500; ADR-600</t>
        </is>
      </c>
    </row>
    <row r="10">
      <c r="A10" s="9" t="n">
        <v>8</v>
      </c>
      <c r="B10" s="10" t="inlineStr">
        <is>
          <t>Контейнер</t>
        </is>
      </c>
      <c r="C10" s="11" t="inlineStr">
        <is>
          <t>Эмбеддинги (модель поиска)</t>
        </is>
      </c>
      <c r="D10" s="9" t="inlineStr">
        <is>
          <t>Backend (поиск); embedding-inference (MVP); ETL индексации; Qdrant; Triage (запасной k-NN)</t>
        </is>
      </c>
      <c r="E10" s="9" t="inlineStr">
        <is>
          <t>sentence-transformers; multilingual-e5-small (CPU) на прототипе; BGE-M3 (GPU) на MVP</t>
        </is>
      </c>
      <c r="F10" s="9" t="inlineStr">
        <is>
          <t>`multilingual-e5-small` на CPU: 0,46 ГБ, 22–37 мс на запрос (первый замер и повтор 24.09.2026) — укладывается в бюджет 100 мс с запасом ≈3–4,5 раза. Стек: библиотека sentence-transformers (`SentenceTransformerEmbedder`, `app/kb/search.py`); модель задаётся параметром `embedding_model` (`app/config.py`); тот же эмбеддер использует запасной классификатор Triage.</t>
        </is>
      </c>
      <c r="G10" s="9" t="inlineStr">
        <is>
          <t>Сравнение моделей проведено в ADR-300, раздел 2 (задержка и размер — замер `scripts/measure_search_models.py`); замер поиска на прототипе — `golden_set/measurement.json` (e5-small: 20 из 20 на вопросах корпуса, 12 из 30 на первом месте и 23 из 30 в первой тройке на живых формулировках). Почему BGE-M3 для MVP: многоязычная, длинные тексты, общий каркас с реранкером BGE-reranker-v2-m3 — это свойства модели, а не замер на своих данных; подробно и с перечнем кандидатов — ADR-300, «Почему BGE-M3 — кандидат для MVP и что будет сравниваться». Кандидаты: BGE-M3: 2,14 ГиБ (fp32; прежние 4,25 ГБ — две копии весов в кэше), 210–300 мс на CPU (в 2–3 раза выше бюджета; на GPU не измерялась), качество на русском не проверено на эталонном наборе. GigaChat Embeddings — только для офлайн-индексации: запрос минует обезличивание.</t>
        </is>
      </c>
      <c r="H10" s="9" t="inlineStr">
        <is>
          <t>ADR-300, раздел 2 «Эмбеддинги» и подраздел «Почему BGE-M3 — кандидат для MVP и что будет сравниваться»; замер поиска — golden_set/measurement.json; скрипт замера — scripts/measure_search_models.py</t>
        </is>
      </c>
      <c r="I10" s="9" t="inlineStr">
        <is>
          <t>Смена модели — самое дорогое решение для отмены: версия хранится в каждом векторе, смена = полная переиндексация. Сравнение e5-small и BGE-M3 по качеству не проведено.</t>
        </is>
      </c>
      <c r="J10" s="9" t="inlineStr">
        <is>
          <t>BGE-M3 на GPU (общий сервис для онлайн-поиска и индексации) — предварительный выбор: окончательно модель выбирается по тесту 4–5 моделей (e5-small, e5-large, BGE-M3, модели, дообученные на русском) на размеченном наборе из живых обращений; пороги подбираются под каждую модель (ADR-600, «Тест моделей эмбеддингов для MVP»). Размеченный набор берётся из строки «Анализ всех типов…».</t>
        </is>
      </c>
      <c r="K10" s="9" t="inlineStr">
        <is>
          <t>BGE-M3, сервис `embedding-inference` на узле с GPU.</t>
        </is>
      </c>
      <c r="L10" s="9" t="inlineStr">
        <is>
          <t>Многоязычная модель, по репутации лучше на русском; решение принимается один раз на этап после замера на эталонном наборе.</t>
        </is>
      </c>
      <c r="M10" s="17" t="n">
        <v>10</v>
      </c>
      <c r="N10" s="17" t="n">
        <v>14</v>
      </c>
      <c r="O10" s="18" t="inlineStr">
        <is>
          <t>Из блока ADR-600: Качество поиска и классификации</t>
        </is>
      </c>
      <c r="P10" s="9" t="inlineStr">
        <is>
          <t>Как на MVP (изменений нет).</t>
        </is>
      </c>
      <c r="Q10" s="9" t="inlineStr">
        <is>
          <t>BGE-M3 на том же GPU-пуле.</t>
        </is>
      </c>
      <c r="R10" s="9" t="inlineStr">
        <is>
          <t>Модель поиска не зависит от того, чья модель генерирует ответ; карта A100 на тираже нужна только генерации. Модель для тиража подтверждается повторным решением по живой статистике MVP.</t>
        </is>
      </c>
      <c r="S10" s="19" t="n"/>
      <c r="T10" s="19" t="n"/>
      <c r="U10" s="9" t="n"/>
      <c r="V10" s="9" t="inlineStr">
        <is>
          <t>ADR-300; ADR-500</t>
        </is>
      </c>
    </row>
    <row r="11">
      <c r="A11" s="9" t="n">
        <v>9</v>
      </c>
      <c r="B11" s="10" t="inlineStr">
        <is>
          <t>Контейнер</t>
        </is>
      </c>
      <c r="C11" s="11" t="inlineStr">
        <is>
          <t>Реранкер (переранжирование топ-20 → топ-3)</t>
        </is>
      </c>
      <c r="D11" s="9" t="inlineStr">
        <is>
          <t>Backend (поиск); reranker-inference (MVP); ETL индексации (офлайн-роль)</t>
        </is>
      </c>
      <c r="E11" s="9" t="inlineStr">
        <is>
          <t>sentence-transformers (кросс-энкодер); BAAI/bge-reranker-v2-m3; на прототипе выключен</t>
        </is>
      </c>
      <c r="F11" s="9" t="inlineStr">
        <is>
          <t>Реализован и проверен, но выключен (`RERANKER_ENABLED=false`): кросс-энкодер BGE-reranker-v2-m3 на CPU считает 5,8–25 с (повтор 24.09.2026 — 7,2 с) при бюджете 100 мс; на GPU не измерялся.</t>
        </is>
      </c>
      <c r="G11" s="9" t="inlineStr">
        <is>
          <t>Поиск без переранжирования (топ-3 сразу из косинуса) — единственный вариант на CPU. BGE-reranker-v2-m3 выбран как целевой: многоязычный, из того же семейства, что BGE-M3, и проверен на 30 живых формулировках (первое место у 21 из 30 вместо 7, MRR 0,79 вместо 0,52) — но замер устарел: сделан на корпусе из 20 фрагментов, где топ-20 — весь корпус; на текущем индексе косинус даёт 12 из 30, выигрыш реранкера над ним не измерялся, а на 30–100 тыс. векторов MVP зависит от полноты первой ступени. Другие реранкеры (jina-reranker-v2, mMiniLM, bge-reranker-v2-gemma) не измерялись.</t>
        </is>
      </c>
      <c r="H11" s="9" t="inlineStr">
        <is>
          <t>ADR-300, раздел 3 «Переранжирование» и подраздел «Почему BGE-reranker-v2-m3 — кандидат для MVP и что будет сравниваться»; замер — golden_set/reranking.json</t>
        </is>
      </c>
      <c r="I11" s="9" t="inlineStr">
        <is>
          <t>Онлайн-роль зависит от GPU. Офлайн-роль (выбор представительного чанка среди дублей) не подтверждена: модель обучена на паре «запрос — документ», а запроса при индексации нет.</t>
        </is>
      </c>
      <c r="J11" s="9" t="inlineStr">
        <is>
          <t>Включён в онлайн-поиске; замер офлайн-роли, при неподтверждении — замена на quality_score или центроидное сходство (2–3 чел-дн). Тест 2–3 моделей реранкера на размеченном наборе с порогом под каждую (5–7 чел-дн); первым шагом — повторный замер базовой линии на текущем индексе, прежний сделан на корпусе из 20 фрагментов — после выбора модели эмбеддингов.</t>
        </is>
      </c>
      <c r="K11" s="9" t="inlineStr">
        <is>
          <t>BGE-reranker-v2-m3, сервис `reranker-inference` на GPU.</t>
        </is>
      </c>
      <c r="L11" s="9" t="inlineStr">
        <is>
          <t>Уточнение выдачи; на GPU укладывается в бюджет задержки.</t>
        </is>
      </c>
      <c r="M11" s="17" t="n">
        <v>7</v>
      </c>
      <c r="N11" s="17" t="n">
        <v>10</v>
      </c>
      <c r="O11" s="18" t="inlineStr">
        <is>
          <t>Из блока ADR-600: Качество поиска и классификации</t>
        </is>
      </c>
      <c r="P11" s="14" t="inlineStr">
        <is>
          <t>Без изменений</t>
        </is>
      </c>
      <c r="Q11" s="15" t="n"/>
      <c r="R11" s="15" t="n"/>
      <c r="S11" s="16" t="n"/>
      <c r="T11" s="16" t="n"/>
      <c r="U11" s="15" t="n"/>
      <c r="V11" s="9" t="inlineStr">
        <is>
          <t>ADR-300; C3/C4_L3_ETL_RAG_1</t>
        </is>
      </c>
    </row>
    <row r="12">
      <c r="A12" s="9" t="n">
        <v>10</v>
      </c>
      <c r="B12" s="10" t="inlineStr">
        <is>
          <t>Контейнер</t>
        </is>
      </c>
      <c r="C12" s="11" t="inlineStr">
        <is>
          <t>Векторная база (Qdrant)</t>
        </is>
      </c>
      <c r="D12" s="9" t="inlineStr">
        <is>
          <t>Qdrant; Backend (читает); ETL индексации (пишет)</t>
        </is>
      </c>
      <c r="E12" s="9" t="inlineStr">
        <is>
          <t>Qdrant (docker `qdrant/qdrant`); клиент qdrant-client; индекс HNSW (m=16, ef=128); payload-индексы; blue-green алиасы коллекций</t>
        </is>
      </c>
      <c r="F12" s="9" t="inlineStr">
        <is>
          <t>Qdrant в `docker compose`; в коде по умолчанию корпус в памяти. Есть фильтр по типу обращения и переключение индекса без остановки поиска (blue-green алиас).</t>
        </is>
      </c>
      <c r="G12" s="9" t="inlineStr">
        <is>
          <t>Объём заложен: несколько тысяч документов (3 000–5 000) × 10–20 частей на документ (допущение) = 30 000–100 000 векторов размерности 1 024 (BGE-M3), 123–410 МБ. Замер Qdrant на 100 000 случайных векторов: P50 27,5 мс / P99 64,9 мс без фильтра, 14,3 / 36,8 мс с фильтром по типу — в бюджете 100 мс. pgvector не отклонён по качеству: на этом объёме рабочая альтернатива (не измерялась), Qdrant выбран из-за алиасов коллекций (blue-green уже в коде) и отдельной нагрузки от основной базы. Milvus и OpenSearch — по документации, не измерялись.</t>
        </is>
      </c>
      <c r="H12" s="9" t="inlineStr">
        <is>
          <t>ADR-200, раздел «Сравнение вариантов по слоям», подраздел «Почему Qdrant, а не другая векторная база» (и строка «Векторный поиск (целевое)» в таблице «Хранилища»)</t>
        </is>
      </c>
      <c r="I12" s="9" t="inlineStr">
        <is>
          <t>Образ в compose не привязан к версии (`latest`) — для продакшена версию надо зафиксировать.</t>
        </is>
      </c>
      <c r="J12" s="9" t="inlineStr">
        <is>
          <t>Qdrant self-hosted в Kubernetes на быстром диске, с резервным копированием.</t>
        </is>
      </c>
      <c r="K12" s="9" t="inlineStr">
        <is>
          <t>Qdrant, StatefulSet + PVC на NVMe.</t>
        </is>
      </c>
      <c r="L12" s="9" t="inlineStr">
        <is>
          <t>Целевое хранилище векторов; миграция — смена конфигурации, код уже проверен на реальном сервере.</t>
        </is>
      </c>
      <c r="M12" s="12" t="n">
        <v>3</v>
      </c>
      <c r="N12" s="12" t="n">
        <v>5</v>
      </c>
      <c r="O12" s="13" t="inlineStr">
        <is>
          <t>Оценка автора</t>
        </is>
      </c>
      <c r="P12" s="14" t="inlineStr">
        <is>
          <t>Без изменений</t>
        </is>
      </c>
      <c r="Q12" s="15" t="n"/>
      <c r="R12" s="15" t="n"/>
      <c r="S12" s="16" t="n"/>
      <c r="T12" s="16" t="n"/>
      <c r="U12" s="15" t="n"/>
      <c r="V12" s="9" t="inlineStr">
        <is>
          <t>ADR-200; ADR-100</t>
        </is>
      </c>
    </row>
    <row r="13">
      <c r="A13" s="9" t="n">
        <v>11</v>
      </c>
      <c r="B13" s="10" t="inlineStr">
        <is>
          <t>Контейнер</t>
        </is>
      </c>
      <c r="C13" s="11" t="inlineStr">
        <is>
          <t>Кэш профиля абонента (Postgres)</t>
        </is>
      </c>
      <c r="D13" s="9" t="inlineStr">
        <is>
          <t>Кэш профиля; Backend (читает); K8s CronJob (пересчёт, MVP); Биллинг и Диспетчерская (источники)</t>
        </is>
      </c>
      <c r="E13" s="9" t="inlineStr">
        <is>
          <t>Прототип: словари в памяти процесса из CSV. MVP: PostgreSQL (материализованное представление; клиент psycopg 3), без Redis; возврат Redis — по итогам замера</t>
        </is>
      </c>
      <c r="F13" s="9" t="inlineStr">
        <is>
          <t>Пример Биллинга и ЛК (200 счетов, 203 счётчика, 1323 начисления) читается из CSV при старте в словари в памяти процесса (`app/billing/source.py`). Postgres и Redis для профиля на прототипе не используются.</t>
        </is>
      </c>
      <c r="G13" s="9" t="inlineStr">
        <is>
          <t>Не формальный Feature Store (Feast/Tecton): избыточен для одной таблицы. Сравнивались также слепок в памяти (не работает для нескольких реплик), материализованное представление Postgres без Redis и чтение из Биллинга на каждый вопрос (нагрузка и задержка). Redis для профиля не берётся: выигрыш над индексным чтением Postgres не показан, второй источник данных — цена без пользы; на MVP закладывается замер чтения (1,5–2 чел-дн), Redis возвращается только если замер не уложится в бюджет.</t>
        </is>
      </c>
      <c r="H13" s="9" t="inlineStr">
        <is>
          <t>ADR-200, раздел «Сравнение вариантов по слоям», подраздел «Кэш профиля абонента: где хранить и с чем сравнивали»</t>
        </is>
      </c>
      <c r="I13" s="9" t="inlineStr">
        <is>
          <t>Периодического пересчёта из живых систем на прототипе нет: данные — слепок из присланного примера.</t>
        </is>
      </c>
      <c r="J13" s="9" t="inlineStr">
        <is>
          <t>Пересчёт агрегата по расписанию из Биллинга (XML-RPC) и Диспетчерской (REST); замер чтения профиля из Postgres под нагрузкой MVP (1,5–2 чел-дн, ADR-600).</t>
        </is>
      </c>
      <c r="K13" s="9" t="inlineStr">
        <is>
          <t>Kubernetes CronJob → Postgres (материализованное представление). Без Redis; возврат Redis — только по итогам замера.</t>
        </is>
      </c>
      <c r="L13" s="9" t="inlineStr">
        <is>
          <t>Ответ читает готовый агрегат по индексу, без обращения к первичным системам; планировщик по расписанию (Kubernetes CronJob), предусмотренный в схеме развёртывания (кластера пока нет).</t>
        </is>
      </c>
      <c r="M13" s="22" t="n">
        <v>6.5</v>
      </c>
      <c r="N13" s="12" t="n">
        <v>10</v>
      </c>
      <c r="O13" s="13" t="inlineStr">
        <is>
          <t>Оценка автора; замер профиля — ADR-600</t>
        </is>
      </c>
      <c r="P13" s="14" t="inlineStr">
        <is>
          <t>Без изменений</t>
        </is>
      </c>
      <c r="Q13" s="15" t="n"/>
      <c r="R13" s="15" t="n"/>
      <c r="S13" s="16" t="n"/>
      <c r="T13" s="16" t="n"/>
      <c r="U13" s="15" t="n"/>
      <c r="V13" s="9" t="inlineStr">
        <is>
          <t>ADR-200; ADR-600; Data_Flow_Diagrams</t>
        </is>
      </c>
    </row>
    <row r="14">
      <c r="A14" s="9" t="n">
        <v>12</v>
      </c>
      <c r="B14" s="10" t="inlineStr">
        <is>
          <t>Контейнер</t>
        </is>
      </c>
      <c r="C14" s="11" t="inlineStr">
        <is>
          <t>Redis (квоты, состояние диалога)</t>
        </is>
      </c>
      <c r="D14" s="9" t="inlineStr">
        <is>
          <t>Redis; LLM Gateway (лимиты); Backend (сессии диалога)</t>
        </is>
      </c>
      <c r="E14" s="9" t="inlineStr">
        <is>
          <t>Redis 7 (docker `redis:7-alpine`); клиент redis-py</t>
        </is>
      </c>
      <c r="F14" s="9" t="inlineStr">
        <is>
          <t>Redis 7 в `docker compose`. Лимиты: фиксированная минута, при недоступности хранилища запросы отклоняются (503), а не пропускаются.</t>
        </is>
      </c>
      <c r="G14" s="9" t="inlineStr">
        <is>
          <t>Redis выбран против Memcached (нет структур для сессии), таблицы счётчиков в Postgres (по нагрузке справился бы — пик до 0,66 вопроса/с на тираже в максимуме прогноза; счётчик с окном пришлось бы писать вручную) и счётчиков в памяти процесса (лимиты обнуляются при перезапуске, fail-open).</t>
        </is>
      </c>
      <c r="H14" s="9" t="inlineStr">
        <is>
          <t>ADR-200, раздел «Сравнение вариантов по слоям», подраздел «Почему PostgreSQL и Redis»</t>
        </is>
      </c>
      <c r="I14" s="9" t="inlineStr">
        <is>
          <t>Фиксированное окно даёт двойной лимит на стыке минут — на десятках запросов в минуту это несущественно.</t>
        </is>
      </c>
      <c r="J14" s="9" t="inlineStr">
        <is>
          <t>Redis в кластере на постоянном диске.</t>
        </is>
      </c>
      <c r="K14" s="9" t="inlineStr">
        <is>
          <t>Redis, StatefulSet + PVC.</t>
        </is>
      </c>
      <c r="L14" s="9" t="inlineStr">
        <is>
          <t>Состояние и счётчики должны переживать перезапуск пода.</t>
        </is>
      </c>
      <c r="M14" s="12" t="n">
        <v>2</v>
      </c>
      <c r="N14" s="12" t="n">
        <v>3</v>
      </c>
      <c r="O14" s="13" t="inlineStr">
        <is>
          <t>Оценка автора</t>
        </is>
      </c>
      <c r="P14" s="14" t="inlineStr">
        <is>
          <t>Без изменений</t>
        </is>
      </c>
      <c r="Q14" s="15" t="n"/>
      <c r="R14" s="15" t="n"/>
      <c r="S14" s="16" t="n"/>
      <c r="T14" s="16" t="n"/>
      <c r="U14" s="15" t="n"/>
      <c r="V14" s="9" t="inlineStr">
        <is>
          <t>ADR-200; ADR-400</t>
        </is>
      </c>
    </row>
    <row r="15">
      <c r="A15" s="9" t="n">
        <v>13</v>
      </c>
      <c r="B15" s="10" t="inlineStr">
        <is>
          <t>Контейнер</t>
        </is>
      </c>
      <c r="C15" s="11" t="inlineStr">
        <is>
          <t>Postgres (обращения, слепки, события, телеметрия)</t>
        </is>
      </c>
      <c r="D15" s="9" t="inlineStr">
        <is>
          <t>Postgres; Backend (обращения, профили); LLM Gateway (события использования); Сервис работы с обращениями</t>
        </is>
      </c>
      <c r="E15" s="9" t="inlineStr">
        <is>
          <t>PostgreSQL 16 (docker `postgres:16-alpine`); драйвер psycopg 3; SQL-скрипты инициализации `docker/postgres/init/`</t>
        </is>
      </c>
      <c r="F15" s="9" t="inlineStr">
        <is>
          <t>Postgres 16 в `docker compose`: слепки Биллинга, ЛК и обращений, таблицы обращений, `usage_events`, `quality_reports`.</t>
        </is>
      </c>
      <c r="G15" s="9" t="inlineStr">
        <is>
          <t>PostgreSQL выбран против MySQL/MariaDB (нет материализованных представлений) и SQLite (один файл, не для нескольких сервисов). Телеметрия остаётся в Postgres, а не в ClickHouse: до ≈0,8 млн событий в год на тираже; замер 2 млн строк — 589 МБ, агрегаты за секунды (ADR-200).</t>
        </is>
      </c>
      <c r="H15" s="9" t="inlineStr">
        <is>
          <t>ADR-200, раздел «Сравнение вариантов по слоям», подраздел «Почему PostgreSQL и Redis»; телеметрия — подраздел «Телеметрия: почему Postgres, а не ClickHouse»</t>
        </is>
      </c>
      <c r="I15" s="9" t="inlineStr">
        <is>
          <t>На прототипе обращения пишутся прямо в таблицу — микросервиса владельца в закрытой сети нет; слепки вместо живых систем.</t>
        </is>
      </c>
      <c r="J15" s="9" t="inlineStr">
        <is>
          <t>Postgres в Kubernetes для состояния, обращений и телеметрии (события использования, отчёты качества); слепки уходят — данные идут через API владельцев.</t>
        </is>
      </c>
      <c r="K15" s="9" t="inlineStr">
        <is>
          <t>Postgres, StatefulSet + PVC, резервное копирование.</t>
        </is>
      </c>
      <c r="L15" s="9" t="inlineStr">
        <is>
          <t>Целевая схема: своей копии чужих данных быть не должно. Отдельная СУБД под телеметрию не нужна: объём мал (строка «ClickHouse» убрана, её оценка 2–4 чел-дн снята).</t>
        </is>
      </c>
      <c r="M15" s="12" t="n">
        <v>3</v>
      </c>
      <c r="N15" s="12" t="n">
        <v>5</v>
      </c>
      <c r="O15" s="13" t="inlineStr">
        <is>
          <t>Оценка автора</t>
        </is>
      </c>
      <c r="P15" s="9" t="inlineStr">
        <is>
          <t>Срок хранения подробных событий 12 месяцев, сводная таблица по дням и секции по месяцам; замер на 4 млн строк.</t>
        </is>
      </c>
      <c r="Q15" s="9" t="inlineStr">
        <is>
          <t>Postgres: секционирование по месяцам, сводная таблица (материализованное представление или задание по расписанию).</t>
        </is>
      </c>
      <c r="R15" s="9" t="inlineStr">
        <is>
          <t>На 12 млн строк агрегат по всей таблице занимает 39 с (замер); без ограничения срока хранения аналитика замедляется.</t>
        </is>
      </c>
      <c r="S15" s="12" t="n">
        <v>2</v>
      </c>
      <c r="T15" s="12" t="n">
        <v>3</v>
      </c>
      <c r="U15" s="13" t="inlineStr">
        <is>
          <t>Оценка автора</t>
        </is>
      </c>
      <c r="V15" s="9" t="inlineStr">
        <is>
          <t>ADR-100; ADR-200</t>
        </is>
      </c>
    </row>
    <row r="16">
      <c r="A16" s="9" t="n">
        <v>14</v>
      </c>
      <c r="B16" s="10" t="inlineStr">
        <is>
          <t>Контейнер</t>
        </is>
      </c>
      <c r="C16" s="11" t="inlineStr">
        <is>
          <t>Индексация базы знаний (ETL)</t>
        </is>
      </c>
      <c r="D16" s="9" t="inlineStr">
        <is>
          <t>ETL индексации; Qdrant; embedding-inference; хранилище документов базы знаний</t>
        </is>
      </c>
      <c r="E16" s="9" t="inlineStr">
        <is>
          <t>Python-скрипт `scripts/reindex_kb.py` (сервис `reindex` в docker compose): python-docx → нарезка частей до 300 знаков → Presidio (проверка ПДн) → sentence-transformers (e5-small, CPU) → qdrant-client (blue-green алиас); MVP — K8s CronJob, Celery в коде нет</t>
        </is>
      </c>
      <c r="F16" s="9" t="inlineStr">
        <is>
          <t>Сервис `reindex` в compose: одноразовый прогон при подъёме стека (`scripts/reindex_kb.py`), запись в новую коллекцию и атомарное переключение алиаса; Backend только подключается к готовому индексу. Очереди задач и Celery в коде нет. В базе сейчас 27 источников (20 пар FAQ и 7 синтетических документов Word) → 51 фрагмент → 190 векторов.</t>
        </is>
      </c>
      <c r="G16" s="9" t="inlineStr">
        <is>
          <t>Планировщик по расписанию выбран против Airflow (платформа ради одного задания) и cron внутри Backend (нет изоляции от ответов абонентам) — по документации, пробного внедрения не было. Celery Beat в коде не используется. Объём MVP — несколько тысяч документов (3 000–5 000), 30 000–100 000 частей (допущение); по замеру на CPU e5-small индексирует их за ≈14–46 мин, BGE-M3 — за ≈2,7–9,6 ч при окне 3 ч; на GPU скорость не измерялась.</t>
        </is>
      </c>
      <c r="H16" s="9" t="inlineStr">
        <is>
          <t>ADR-200, раздел «Сравнение вариантов по слоям», подраздел «Почему индексация — задание по расписанию, а не Airflow» и подраздел «Индексация базы знаний: что реализовано и какой объём»</t>
        </is>
      </c>
      <c r="I16" s="9" t="inlineStr">
        <is>
          <t>Изоляция GPU между индексацией и онлайн-ответами не решена: массовая переиндексация может увеличить задержку ответа. Свежие документы попадают в индекс с задержкой до ночного окна.</t>
        </is>
      </c>
      <c r="J16" s="9" t="inlineStr">
        <is>
          <t>Ночное окно 02:00–05:00: забор документов, очистка, эмбеддинги на GPU, полный реиндекс. Что «окна хватит» на 30–100 тыс. частей на GPU — допущение, скорость на GPU не измерялась; источник и формат настоящих документов владелец не назвал.</t>
        </is>
      </c>
      <c r="K16" s="9" t="inlineStr">
        <is>
          <t>Kubernetes CronJob, окно обслуживания, жёсткая граница по времени. Разбор — python-docx; ПДн — Presidio; эмбеддинги — модель по итогам теста (BGE-M3 предварительно); запись — qdrant-client, blue-green алиас.</t>
        </is>
      </c>
      <c r="L16" s="9" t="inlineStr">
        <is>
          <t>Не успели — задание прерывается, продолжение в следующем окне; индекс не повреждается, алиас переключается после полного успеха.</t>
        </is>
      </c>
      <c r="M16" s="12" t="n">
        <v>4</v>
      </c>
      <c r="N16" s="12" t="n">
        <v>6</v>
      </c>
      <c r="O16" s="13" t="inlineStr">
        <is>
          <t>Оценка автора</t>
        </is>
      </c>
      <c r="P16" s="9" t="inlineStr">
        <is>
          <t>Изоляция GPU между индексацией и онлайн-инференсом.</t>
        </is>
      </c>
      <c r="Q16" s="9" t="inlineStr">
        <is>
          <t>Приоритетные очереди либо отдельный GPU-пул.</t>
        </is>
      </c>
      <c r="R16" s="9" t="inlineStr">
        <is>
          <t>Появляется вторая постоянная нагрузка на GPU (генерация), и индексация не должна её задерживать.</t>
        </is>
      </c>
      <c r="S16" s="12" t="n">
        <v>3</v>
      </c>
      <c r="T16" s="12" t="n">
        <v>5</v>
      </c>
      <c r="U16" s="13" t="inlineStr">
        <is>
          <t>Оценка автора</t>
        </is>
      </c>
      <c r="V16" s="9" t="inlineStr">
        <is>
          <t>ADR-400; ADR-600; C4_Deployment</t>
        </is>
      </c>
    </row>
    <row r="17">
      <c r="A17" s="9" t="n">
        <v>15</v>
      </c>
      <c r="B17" s="10" t="inlineStr">
        <is>
          <t>Контейнер</t>
        </is>
      </c>
      <c r="C17" s="11" t="inlineStr">
        <is>
          <t>Агент операций записи (Orchestrator, HITL, аудит)</t>
        </is>
      </c>
      <c r="D17" s="9" t="inlineStr">
        <is>
          <t>Agent Orchestrator; Backend; Session State Store (Redis / PostgreSQL); LLM Gateway</t>
        </is>
      </c>
      <c r="E17" s="9" t="inlineStr">
        <is>
          <t>Python; собственный конечный автомат (`app/fsm.py`) на перечислениях; сессии в Redis / PostgreSQL</t>
        </is>
      </c>
      <c r="F17" s="9" t="inlineStr">
        <is>
          <t>Свой конечный автомат (`app/fsm.py`), покрыт тестами, в продакшене не включён. Регистрация обращений идёт упрощённым путём напрямую в таблицу.</t>
        </is>
      </c>
      <c r="G17" s="9" t="inlineStr">
        <is>
          <t>LangGraph — кандидат, не выбран: усложнение ради возможностей, которые пока не нужны.</t>
        </is>
      </c>
      <c r="H17" s="9" t="inlineStr">
        <is>
          <t>ADR-200, раздел «Backend и оркестрация»: строка «Оркестрация агента» (свой FSM против LangGraph)</t>
        </is>
      </c>
      <c r="I17" s="9" t="inlineStr">
        <is>
          <t>Оценка function-calling у провайдеров РФ для роли агента — открытый вопрос.</t>
        </is>
      </c>
      <c r="J17" s="9" t="inlineStr">
        <is>
          <t>Включение агента: состояние ожидания подтверждения, идемпотентность, аудит (в том числе отказов абонента), проверка черновика до показа.</t>
        </is>
      </c>
      <c r="K17" s="9" t="inlineStr">
        <is>
          <t>Свой FSM, Draft Validator, Audit Writer, Session State Store.</t>
        </is>
      </c>
      <c r="L17" s="9" t="inlineStr">
        <is>
          <t>Запись данных без подтверждённого сценария дороже по ошибке, чем консультация; ни одна запись без явного подтверждения абонента.</t>
        </is>
      </c>
      <c r="M17" s="17" t="n">
        <v>4</v>
      </c>
      <c r="N17" s="17" t="n">
        <v>6</v>
      </c>
      <c r="O17" s="18" t="inlineStr">
        <is>
          <t>Из блока ADR-600: Основная разработка Этапа 2</t>
        </is>
      </c>
      <c r="P17" s="9" t="inlineStr">
        <is>
          <t>Оценка function-calling для роли агента у провайдеров РФ.</t>
        </is>
      </c>
      <c r="Q17" s="9" t="inlineStr">
        <is>
          <t>Прогон эталонных сценариев через кандидатов.</t>
        </is>
      </c>
      <c r="R17" s="9" t="inlineStr">
        <is>
          <t>От результата зависит, можно ли доверить агенту роль на self-hosted модели.</t>
        </is>
      </c>
      <c r="S17" s="20" t="n">
        <v>5</v>
      </c>
      <c r="T17" s="20" t="n">
        <v>5</v>
      </c>
      <c r="U17" s="21" t="inlineStr">
        <is>
          <t>ADR-600</t>
        </is>
      </c>
      <c r="V17" s="9" t="inlineStr">
        <is>
          <t>ADR-100; ADR-200; ADR-400; ADR-600</t>
        </is>
      </c>
    </row>
    <row r="18">
      <c r="A18" s="9" t="n">
        <v>16</v>
      </c>
      <c r="B18" s="10" t="inlineStr">
        <is>
          <t>Контейнер</t>
        </is>
      </c>
      <c r="C18" s="11" t="inlineStr">
        <is>
          <t>Billing Adapter (запись в Биллинг)</t>
        </is>
      </c>
      <c r="D18" s="9" t="inlineStr">
        <is>
          <t>Billing Adapter; Биллинг (внешняя система); Agent Orchestrator (HITL Gate)</t>
        </is>
      </c>
      <c r="E18" s="9" t="inlineStr">
        <is>
          <t>Python; XML-RPC-клиент к API Биллинга; ключ идемпотентности</t>
        </is>
      </c>
      <c r="F18" s="9" t="inlineStr">
        <is>
          <t>Не реализован (запись отложена на Этап 2). Чтение идёт из слепка в Postgres.</t>
        </is>
      </c>
      <c r="G18" s="9" t="inlineStr">
        <is>
          <t>Прямой доступ к чужой БД запрещён: только через API владельца.</t>
        </is>
      </c>
      <c r="H18" s="9" t="inlineStr">
        <is>
          <t>ADR-400, раздел «Сравнение вариантов по слоям безопасности», подраздел «Как выбран способ доступа к внешним системам»</t>
        </is>
      </c>
      <c r="I18" s="9" t="inlineStr">
        <is>
          <t>Сигнатуры API Биллинга от владельца ещё не получены; write-доступ к чужой legacy-системе — отдельная интеграция.</t>
        </is>
      </c>
      <c r="J18" s="9" t="inlineStr">
        <is>
          <t>Запись показаний и операций в Биллинг через XML-RPC с ключом идемпотентности.</t>
        </is>
      </c>
      <c r="K18" s="9" t="inlineStr">
        <is>
          <t>Отдельный контейнер `Billing Adapter`, XML-RPC API Биллинга.</t>
        </is>
      </c>
      <c r="L18" s="9" t="inlineStr">
        <is>
          <t>Единственный разрешённый путь записи в Биллинг; повтор запроса не создаёт дубль.</t>
        </is>
      </c>
      <c r="M18" s="17" t="n">
        <v>4</v>
      </c>
      <c r="N18" s="17" t="n">
        <v>6</v>
      </c>
      <c r="O18" s="18" t="inlineStr">
        <is>
          <t>Из блока ADR-600: Основная разработка Этапа 2</t>
        </is>
      </c>
      <c r="P18" s="14" t="inlineStr">
        <is>
          <t>Без изменений</t>
        </is>
      </c>
      <c r="Q18" s="15" t="n"/>
      <c r="R18" s="15" t="n"/>
      <c r="S18" s="16" t="n"/>
      <c r="T18" s="16" t="n"/>
      <c r="U18" s="15" t="n"/>
      <c r="V18" s="9" t="inlineStr">
        <is>
          <t>ADR-100; ADR-400</t>
        </is>
      </c>
    </row>
    <row r="19">
      <c r="A19" s="9" t="n">
        <v>17</v>
      </c>
      <c r="B19" s="10" t="inlineStr">
        <is>
          <t>Контейнер</t>
        </is>
      </c>
      <c r="C19" s="11" t="inlineStr">
        <is>
          <t>Сервис работы с обращениями</t>
        </is>
      </c>
      <c r="D19" s="9" t="inlineStr">
        <is>
          <t>Сервис работы с обращениями; Микросервис обращений и Диспетчерская (внешние); Agent Orchestrator; Postgres</t>
        </is>
      </c>
      <c r="E19" s="9" t="inlineStr">
        <is>
          <t>Python; на прототипе запись в таблицу Postgres, на Этапе 2 — HTTP API владельца (сигнатуры не получены)</t>
        </is>
      </c>
      <c r="F19" s="9" t="inlineStr">
        <is>
          <t>Обращение пишется в собственную таблицу Postgres, минуя Orchestrator (`app/inquiries/store.py`).</t>
        </is>
      </c>
      <c r="G19" s="9" t="inlineStr">
        <is>
          <t>Целевой путь — внешний микросервис обращений; на прототипе доступа к нему нет.</t>
        </is>
      </c>
      <c r="H19" s="9" t="inlineStr">
        <is>
          <t>ADR-400, раздел «Сравнение вариантов по слоям безопасности», подраздел «Как выбран способ доступа к внешним системам»; ADR-100, таблица «Что явно отложено»</t>
        </is>
      </c>
      <c r="I19" s="9" t="inlineStr">
        <is>
          <t>Микросервис обращений и его API не готовы принимать реальные запросы; код типов обращений не согласован с владельцем.</t>
        </is>
      </c>
      <c r="J19" s="9" t="inlineStr">
        <is>
          <t>Регистрация через API микросервиса обращений; аварийные заявки — в Диспетчерскую (выбор маршрута по типу).</t>
        </is>
      </c>
      <c r="K19" s="9" t="inlineStr">
        <is>
          <t>Отдельный контейнер, Route Selector: emergency → Диспетчерская, остальные типы → микросервис.</t>
        </is>
      </c>
      <c r="L19" s="9" t="inlineStr">
        <is>
          <t>Обращения должны попадать в систему-владельца, откуда их читают подрядчики и конвейер дообучения.</t>
        </is>
      </c>
      <c r="M19" s="17" t="n">
        <v>3</v>
      </c>
      <c r="N19" s="17" t="n">
        <v>5</v>
      </c>
      <c r="O19" s="18" t="inlineStr">
        <is>
          <t>Из блока ADR-600: Основная разработка Этапа 2</t>
        </is>
      </c>
      <c r="P19" s="14" t="inlineStr">
        <is>
          <t>Без изменений</t>
        </is>
      </c>
      <c r="Q19" s="15" t="n"/>
      <c r="R19" s="15" t="n"/>
      <c r="S19" s="16" t="n"/>
      <c r="T19" s="16" t="n"/>
      <c r="U19" s="15" t="n"/>
      <c r="V19" s="9" t="inlineStr">
        <is>
          <t>ADR-100; ADR-600</t>
        </is>
      </c>
    </row>
    <row r="20">
      <c r="A20" s="9" t="n">
        <v>18</v>
      </c>
      <c r="B20" s="10" t="inlineStr">
        <is>
          <t>Контейнер</t>
        </is>
      </c>
      <c r="C20" s="11" t="inlineStr">
        <is>
          <t>Document Generator (бланки заявлений)</t>
        </is>
      </c>
      <c r="D20" s="9" t="inlineStr">
        <is>
          <t>Document Generator; Backend (выдача бланка); S3 / MinIO (MVP)</t>
        </is>
      </c>
      <c r="E20" s="9" t="inlineStr">
        <is>
          <t>Прототип — Python: шаблоны бланков и HTML-лист на печать; MVP — PDF-библиотека (не выбрана) + S3 / MinIO</t>
        </is>
      </c>
      <c r="F20" s="9" t="inlineStr">
        <is>
          <t>Готовый бланк отдаётся HTML-листом для печати из каталога (семь образцов по ПП РФ № 644/776).</t>
        </is>
      </c>
      <c r="G20" s="9" t="inlineStr">
        <is>
          <t>PDF и S3/MinIO нужны только при путях записи — для консультации избыточны.</t>
        </is>
      </c>
      <c r="H20" s="9" t="inlineStr">
        <is>
          <t>ADR-200, раздел «Сравнение вариантов по слоям», подраздел «Документы Этапа 2: PDF и хранилище файлов (решение не принято)»</t>
        </is>
      </c>
      <c r="I20" s="9" t="inlineStr">
        <is>
          <t>Настоящие бланки заявлений не согласованы с владельцем — используются образцы.</t>
        </is>
      </c>
      <c r="J20" s="9" t="inlineStr">
        <is>
          <t>Рендер PDF из шаблона и слотов, хранение в объектном хранилище, ссылка с ограниченным сроком жизни.</t>
        </is>
      </c>
      <c r="K20" s="9" t="inlineStr">
        <is>
          <t>Генерация PDF (библиотека в ADR не выбрана) + S3 / MinIO.</t>
        </is>
      </c>
      <c r="L20" s="9" t="inlineStr">
        <is>
          <t>Документ, вложенный в диалог, должен быть файлом, а не страницей печати.</t>
        </is>
      </c>
      <c r="M20" s="17" t="n">
        <v>3</v>
      </c>
      <c r="N20" s="17" t="n">
        <v>4</v>
      </c>
      <c r="O20" s="18" t="inlineStr">
        <is>
          <t>Из блока ADR-600: Основная разработка Этапа 2</t>
        </is>
      </c>
      <c r="P20" s="14" t="inlineStr">
        <is>
          <t>Без изменений</t>
        </is>
      </c>
      <c r="Q20" s="15" t="n"/>
      <c r="R20" s="15" t="n"/>
      <c r="S20" s="16" t="n"/>
      <c r="T20" s="16" t="n"/>
      <c r="U20" s="15" t="n"/>
      <c r="V20" s="9" t="inlineStr">
        <is>
          <t>ADR-100; ADR-600</t>
        </is>
      </c>
    </row>
    <row r="21">
      <c r="A21" s="9" t="n">
        <v>19</v>
      </c>
      <c r="B21" s="10" t="inlineStr">
        <is>
          <t>Контейнер</t>
        </is>
      </c>
      <c r="C21" s="11" t="inlineStr">
        <is>
          <t>Оркестрация контейнеров</t>
        </is>
      </c>
      <c r="D21" s="9" t="inlineStr">
        <is>
          <t>Все контейнеры (Backend, LLM Gateway, Qdrant, Redis, Postgres, ETL, GPU-сервисы)</t>
        </is>
      </c>
      <c r="E21" s="9" t="inlineStr">
        <is>
          <t>Прототип — Docker Compose на одной машине; MVP — Kubernetes (nginx Ingress, cert-manager)</t>
        </is>
      </c>
      <c r="F21" s="9" t="inlineStr">
        <is>
          <t>`docker compose` на одной машине: postgres, redis, qdrant, reindex, backend.</t>
        </is>
      </c>
      <c r="G21" s="9" t="inlineStr">
        <is>
          <t>Compose на нескольких хостах не переживает отказ узла; Docker Swarm — по общим сведениям, развитие замедлено (не проверялось). Для одного разработчика и одного хоста Kubernetes избыточен.</t>
        </is>
      </c>
      <c r="H21" s="9" t="inlineStr">
        <is>
          <t>ADR-200, раздел «Backend и оркестрация»: строки «Оркестрация контейнеров» и «Оркестрация на прототипе»</t>
        </is>
      </c>
      <c r="I21" s="9" t="inlineStr">
        <is>
          <t>Целевая платформа (Kubernetes) пока только подразумевается, отдельного ADR нет.</t>
        </is>
      </c>
      <c r="J21" s="9" t="inlineStr">
        <is>
          <t>Kubernetes на собственном железе в закрытом контуре: пространства имён, Ingress, TLS-сертификаты. Расчёт по допущениям (лист «Sizing»): 6 узлов на MVP (3 общих, 2 данных, 1 GPU), 8 на тираже (+1 узел под собственную модель); скорость на GPU не измерялась, стоимость серверов не оценена.</t>
        </is>
      </c>
      <c r="K21" s="9" t="inlineStr">
        <is>
          <t>Kubernetes, nginx Ingress, cert-manager.</t>
        </is>
      </c>
      <c r="L21" s="9" t="inlineStr">
        <is>
          <t>Отказоустойчивость и обновления без остановки; требование целевого развёртывания.</t>
        </is>
      </c>
      <c r="M21" s="12" t="n">
        <v>10</v>
      </c>
      <c r="N21" s="12" t="n">
        <v>15</v>
      </c>
      <c r="O21" s="13" t="inlineStr">
        <is>
          <t>Оценка автора</t>
        </is>
      </c>
      <c r="P21" s="9" t="inlineStr">
        <is>
          <t>Формализация целевой инфраплатформы отдельным ADR.</t>
        </is>
      </c>
      <c r="Q21" s="9" t="inlineStr">
        <is>
          <t>—</t>
        </is>
      </c>
      <c r="R21" s="9" t="inlineStr">
        <is>
          <t>Kubernetes сейчас лишь подразумевается; для тиража нужна зафиксированная платформа, включая GPU-пулы.</t>
        </is>
      </c>
      <c r="S21" s="20" t="n">
        <v>2</v>
      </c>
      <c r="T21" s="20" t="n">
        <v>3</v>
      </c>
      <c r="U21" s="21" t="inlineStr">
        <is>
          <t>ADR-600</t>
        </is>
      </c>
      <c r="V21" s="9" t="inlineStr">
        <is>
          <t>ADR-200; ADR-600; C4_Deployment</t>
        </is>
      </c>
    </row>
    <row r="22">
      <c r="A22" s="9" t="n">
        <v>20</v>
      </c>
      <c r="B22" s="10" t="inlineStr">
        <is>
          <t>Контейнер</t>
        </is>
      </c>
      <c r="C22" s="11" t="inlineStr">
        <is>
          <t>Секреты и конфигурация</t>
        </is>
      </c>
      <c r="D22" s="9" t="inlineStr">
        <is>
          <t>Backend; LLM Gateway (ключи провайдеров); все контейнеры (конфигурация)</t>
        </is>
      </c>
      <c r="E22" s="9" t="inlineStr">
        <is>
          <t>Переменные окружения оболочки (передаются через Compose `${VAR}`); Vault dev-режим (опционально); MVP — Vault Agent Injector</t>
        </is>
      </c>
      <c r="F22" s="9" t="inlineStr">
        <is>
          <t>Переменные окружения оболочки, `.env` приложение не читает; через `docker compose` передаются в контейнер. Опционально Vault в dev-режиме.</t>
        </is>
      </c>
      <c r="G22" s="9" t="inlineStr">
        <is>
          <t>Файл `.env` на диске отклонён: секрет в открытом виде лишний, когда есть переменные окружения. Хранение только в CI/CD без Vault дублирует секрет в двух местах.</t>
        </is>
      </c>
      <c r="H22" s="9" t="inlineStr">
        <is>
          <t>ADR-200, раздел «Секреты и конфигурация»; ADR-400 («Что добавляется в контуре MVP»)</t>
        </is>
      </c>
      <c r="I22" s="9" t="inlineStr">
        <is>
          <t>Dev-режим Vault сам по себе не безопаснее переменной окружения — это репетиция интеграции, а не защита.</t>
        </is>
      </c>
      <c r="J22" s="9" t="inlineStr">
        <is>
          <t>Vault Agent Injector: секреты попадают в под через sidecar.</t>
        </is>
      </c>
      <c r="K22" s="9" t="inlineStr">
        <is>
          <t>HashiCorp Vault в Kubernetes.</t>
        </is>
      </c>
      <c r="L22" s="9" t="inlineStr">
        <is>
          <t>Единый источник истины и отзыв доступа без пересборки образа.</t>
        </is>
      </c>
      <c r="M22" s="12" t="n">
        <v>3</v>
      </c>
      <c r="N22" s="12" t="n">
        <v>5</v>
      </c>
      <c r="O22" s="13" t="inlineStr">
        <is>
          <t>Оценка автора</t>
        </is>
      </c>
      <c r="P22" s="14" t="inlineStr">
        <is>
          <t>Без изменений</t>
        </is>
      </c>
      <c r="Q22" s="15" t="n"/>
      <c r="R22" s="15" t="n"/>
      <c r="S22" s="16" t="n"/>
      <c r="T22" s="16" t="n"/>
      <c r="U22" s="15" t="n"/>
      <c r="V22" s="9" t="inlineStr">
        <is>
          <t>ADR-200; ADR-400</t>
        </is>
      </c>
    </row>
    <row r="23">
      <c r="A23" s="9" t="n">
        <v>21</v>
      </c>
      <c r="B23" s="10" t="inlineStr">
        <is>
          <t>Контейнер</t>
        </is>
      </c>
      <c r="C23" s="11" t="inlineStr">
        <is>
          <t>Наблюдаемость (метрики, логи, алерты)</t>
        </is>
      </c>
      <c r="D23" s="9" t="inlineStr">
        <is>
          <t>Backend и LLM Gateway (метрики); все контейнеры (логи); отдельные контейнеры Prometheus, Grafana, Loki, Alertmanager (MVP)</t>
        </is>
      </c>
      <c r="E23" s="9" t="inlineStr">
        <is>
          <t>prometheus-client (метрики на отдельном порту 9100); MVP — Prometheus, Grafana, Loki, Alertmanager</t>
        </is>
      </c>
      <c r="F23" s="9" t="inlineStr">
        <is>
          <t>Метрики Prometheus на отдельном порту, события потока в панели стенда. Дашбордов и сбора логов нет.</t>
        </is>
      </c>
      <c r="G23" s="9" t="inlineStr">
        <is>
          <t>Prometheus + Grafana + Loki + Alertmanager выбраны против ELK/OpenSearch, Zabbix и облачного мониторинга: закрытый контур (152-ФЗ), метрики Kubernetes и приложения, недорогие логи (Loki индексирует метки, а не текст). Сравнение по документации; пробного развёртывания альтернатив не было.</t>
        </is>
      </c>
      <c r="H23" s="9" t="inlineStr">
        <is>
          <t>ADR-200, раздел «Сравнение вариантов по слоям», подраздел «Почему Prometheus, Grafana, Loki и Alertmanager»</t>
        </is>
      </c>
      <c r="I23" s="9" t="inlineStr">
        <is>
          <t>Метрики есть, но собирать и показывать их нечему.</t>
        </is>
      </c>
      <c r="J23" s="9" t="inlineStr">
        <is>
          <t>Полный стек наблюдаемости: метрики, дашборды, логи, оповещения; в логах только отчёт об обезличивании, без значений ПДн.</t>
        </is>
      </c>
      <c r="K23" s="9" t="inlineStr">
        <is>
          <t>Prometheus, Grafana, Loki, Alertmanager.</t>
        </is>
      </c>
      <c r="L23" s="9" t="inlineStr">
        <is>
          <t>Без этого нельзя измерять задержку ответа (P99), долю отказов и утечки ПДн на реальных абонентах.</t>
        </is>
      </c>
      <c r="M23" s="12" t="n">
        <v>5</v>
      </c>
      <c r="N23" s="12" t="n">
        <v>8</v>
      </c>
      <c r="O23" s="13" t="inlineStr">
        <is>
          <t>Оценка автора</t>
        </is>
      </c>
      <c r="P23" s="14" t="inlineStr">
        <is>
          <t>Без изменений</t>
        </is>
      </c>
      <c r="Q23" s="15" t="n"/>
      <c r="R23" s="15" t="n"/>
      <c r="S23" s="16" t="n"/>
      <c r="T23" s="16" t="n"/>
      <c r="U23" s="15" t="n"/>
      <c r="V23" s="9" t="inlineStr">
        <is>
          <t>C4_Deployment; ADR-500</t>
        </is>
      </c>
    </row>
    <row r="24">
      <c r="A24" s="9" t="n">
        <v>22</v>
      </c>
      <c r="B24" s="23" t="inlineStr">
        <is>
          <t>Связь</t>
        </is>
      </c>
      <c r="C24" s="11" t="inlineStr">
        <is>
          <t>Виджет ↔ Backend</t>
        </is>
      </c>
      <c r="D24" s="9" t="inlineStr">
        <is>
          <t>AI-виджет; Backend</t>
        </is>
      </c>
      <c r="E24" s="9" t="inlineStr">
        <is>
          <t>HTTP/JSON; поток SSE (`text/event-stream`); контракт OpenAPI 3</t>
        </is>
      </c>
      <c r="F24" s="9" t="inlineStr">
        <is>
          <t>HTTP + поток SSE; контракт описан в OpenAPI (`API_Spec.yaml`), идентификатор абонента — в метаданных запроса.</t>
        </is>
      </c>
      <c r="G24" s="9" t="inlineStr">
        <is>
          <t>SSE выбран против WebSocket и периодического опроса: данные идут только от сервера, обычный HTTP проходит через Ingress, формат текстовый. Особенность: EventSource умеет только GET, поэтому виджет читает поток через fetch (POST).</t>
        </is>
      </c>
      <c r="H24" s="9" t="inlineStr">
        <is>
          <t>ADR-200, раздел «Сравнение вариантов по слоям», подраздел «Протокол потока ответа: SSE»</t>
        </is>
      </c>
      <c r="I24" s="9" t="inlineStr">
        <is>
          <t>Идентификатор абонента передаёт сам клиент — для стенда допустимо, для продакшена нет.</t>
        </is>
      </c>
      <c r="J24" s="14" t="inlineStr">
        <is>
          <t>Без изменений</t>
        </is>
      </c>
      <c r="K24" s="15" t="n"/>
      <c r="L24" s="15" t="inlineStr">
        <is>
          <t>Протокол тот же; токен SSO — в строке про связь с ЛК.</t>
        </is>
      </c>
      <c r="M24" s="16" t="n"/>
      <c r="N24" s="16" t="n"/>
      <c r="O24" s="15" t="n"/>
      <c r="P24" s="14" t="inlineStr">
        <is>
          <t>Без изменений</t>
        </is>
      </c>
      <c r="Q24" s="15" t="n"/>
      <c r="R24" s="15" t="n"/>
      <c r="S24" s="16" t="n"/>
      <c r="T24" s="16" t="n"/>
      <c r="U24" s="15" t="n"/>
      <c r="V24" s="9" t="inlineStr">
        <is>
          <t>API_Spec.yaml</t>
        </is>
      </c>
    </row>
    <row r="25">
      <c r="A25" s="9" t="n">
        <v>23</v>
      </c>
      <c r="B25" s="23" t="inlineStr">
        <is>
          <t>Связь</t>
        </is>
      </c>
      <c r="C25" s="11" t="inlineStr">
        <is>
          <t>Backend ↔ Платформа ЛК (SSO)</t>
        </is>
      </c>
      <c r="D25" s="9" t="inlineStr">
        <is>
          <t>Backend; Платформа ЛК (внешняя)</t>
        </is>
      </c>
      <c r="E25" s="9" t="inlineStr">
        <is>
          <t>SSO личного кабинета (протокол не выбран); на прототипе — идентификатор в метаданных запроса</t>
        </is>
      </c>
      <c r="F25" s="9" t="inlineStr">
        <is>
          <t>Не подключена: абонент выбирается из справочника стенда.</t>
        </is>
      </c>
      <c r="G25" s="9" t="inlineStr">
        <is>
          <t>Сравнение не проводилось: интеграция с ЛК не начата, протокол SSO ещё не известен.</t>
        </is>
      </c>
      <c r="H25" s="9" t="inlineStr">
        <is>
          <t>ADR-400, раздел «Сравнение вариантов по слоям безопасности», подраздел «Как выбран способ доступа к внешним системам» (протокол SSO не выбран)</t>
        </is>
      </c>
      <c r="I25" s="9" t="inlineStr">
        <is>
          <t>Настоящей SSO-сессии нет; Auth &amp; Session Middleware — целевой компонент.</t>
        </is>
      </c>
      <c r="J25" s="9" t="inlineStr">
        <is>
          <t>Профиль и сессия абонента берутся из личного кабинета при открытии диалога.</t>
        </is>
      </c>
      <c r="K25" s="9" t="inlineStr">
        <is>
          <t>SSO Платформы ЛК, Auth &amp; Session Middleware в Backend.</t>
        </is>
      </c>
      <c r="L25" s="9" t="inlineStr">
        <is>
          <t>Идентификатор абонента должен приходить от доверенной системы, а не от клиента.</t>
        </is>
      </c>
      <c r="M25" s="17" t="n">
        <v>3</v>
      </c>
      <c r="N25" s="17" t="n">
        <v>5</v>
      </c>
      <c r="O25" s="18" t="inlineStr">
        <is>
          <t>Из блока ADR-600: Основная разработка Этапа 2</t>
        </is>
      </c>
      <c r="P25" s="14" t="inlineStr">
        <is>
          <t>Без изменений</t>
        </is>
      </c>
      <c r="Q25" s="15" t="n"/>
      <c r="R25" s="15" t="n"/>
      <c r="S25" s="16" t="n"/>
      <c r="T25" s="16" t="n"/>
      <c r="U25" s="15" t="n"/>
      <c r="V25" s="9" t="inlineStr">
        <is>
          <t>ADR-400; ADR-600</t>
        </is>
      </c>
    </row>
    <row r="26">
      <c r="A26" s="9" t="n">
        <v>24</v>
      </c>
      <c r="B26" s="23" t="inlineStr">
        <is>
          <t>Связь</t>
        </is>
      </c>
      <c r="C26" s="11" t="inlineStr">
        <is>
          <t>Backend ↔ Биллинг (чтение фактов)</t>
        </is>
      </c>
      <c r="D26" s="9" t="inlineStr">
        <is>
          <t>Backend; Кэш профиля (пересчёт из Биллинга); Биллинг (внешняя)</t>
        </is>
      </c>
      <c r="E26" s="9" t="inlineStr">
        <is>
          <t>XML-RPC API Биллинга; на прототипе — слепок в PostgreSQL</t>
        </is>
      </c>
      <c r="F26" s="9" t="inlineStr">
        <is>
          <t>Чтение из слепка Биллинга в Postgres; для лицевого счёта: долг, начисления, показания, поверка.</t>
        </is>
      </c>
      <c r="G26" s="9" t="inlineStr">
        <is>
          <t>Прямое чтение чужой БД запрещено: только через API владельца.</t>
        </is>
      </c>
      <c r="H26" s="9" t="inlineStr">
        <is>
          <t>ADR-400, раздел «Сравнение вариантов по слоям безопасности», подраздел «Как выбран способ доступа к внешним системам»</t>
        </is>
      </c>
      <c r="I26" s="9" t="inlineStr">
        <is>
          <t>Сигнатуры API Биллинга от владельца не получены.</t>
        </is>
      </c>
      <c r="J26" s="9" t="inlineStr">
        <is>
          <t>Свежие факты запрашиваются у Биллинга в момент вопроса.</t>
        </is>
      </c>
      <c r="K26" s="9" t="inlineStr">
        <is>
          <t>XML-RPC API Биллинга.</t>
        </is>
      </c>
      <c r="L26" s="9" t="inlineStr">
        <is>
          <t>Единственный способ доступа к Биллингу; обходит задержку кэша ради свежести.</t>
        </is>
      </c>
      <c r="M26" s="20" t="n">
        <v>1</v>
      </c>
      <c r="N26" s="20" t="n">
        <v>2</v>
      </c>
      <c r="O26" s="21" t="inlineStr">
        <is>
          <t>ADR-600</t>
        </is>
      </c>
      <c r="P26" s="14" t="inlineStr">
        <is>
          <t>Без изменений</t>
        </is>
      </c>
      <c r="Q26" s="15" t="n"/>
      <c r="R26" s="15" t="n"/>
      <c r="S26" s="16" t="n"/>
      <c r="T26" s="16" t="n"/>
      <c r="U26" s="15" t="n"/>
      <c r="V26" s="9" t="inlineStr">
        <is>
          <t>ADR-400; ADR-600</t>
        </is>
      </c>
    </row>
    <row r="27">
      <c r="A27" s="9" t="n">
        <v>25</v>
      </c>
      <c r="B27" s="23" t="inlineStr">
        <is>
          <t>Связь</t>
        </is>
      </c>
      <c r="C27" s="11" t="inlineStr">
        <is>
          <t>Backend ↔ Диспетчерская</t>
        </is>
      </c>
      <c r="D27" s="9" t="inlineStr">
        <is>
          <t>Backend; Сервис работы с обращениями; Диспетчерская (внешняя)</t>
        </is>
      </c>
      <c r="E27" s="9" t="inlineStr">
        <is>
          <t>REST API Диспетчерской; на прототипе — локальные данные графика отключений</t>
        </is>
      </c>
      <c r="F27" s="9" t="inlineStr">
        <is>
          <t>Данные графика плановых отключений (1939 записей) читаются локально; запись аварийной заявки — заглушка.</t>
        </is>
      </c>
      <c r="G27" s="9" t="inlineStr">
        <is>
          <t>Прямой доступ к чужой БД запрещён.</t>
        </is>
      </c>
      <c r="H27" s="9" t="inlineStr">
        <is>
          <t>ADR-400, раздел «Сравнение вариантов по слоям безопасности», подраздел «Как выбран способ доступа к внешним системам»</t>
        </is>
      </c>
      <c r="I27" s="9" t="inlineStr">
        <is>
          <t>Сигнатуры REST API Диспетчерской от владельца не получены.</t>
        </is>
      </c>
      <c r="J27" s="9" t="inlineStr">
        <is>
          <t>Чтение статуса аварийной заявки и зоны по API; запись аварийной заявки после подтверждения абонента.</t>
        </is>
      </c>
      <c r="K27" s="9" t="inlineStr">
        <is>
          <t>REST API Диспетчерской.</t>
        </is>
      </c>
      <c r="L27" s="9" t="inlineStr">
        <is>
          <t>Единственный разрешённый путь; аварии должны попадать сразу в диспетчерскую.</t>
        </is>
      </c>
      <c r="M27" s="20" t="n">
        <v>1</v>
      </c>
      <c r="N27" s="20" t="n">
        <v>2</v>
      </c>
      <c r="O27" s="21" t="inlineStr">
        <is>
          <t>ADR-600</t>
        </is>
      </c>
      <c r="P27" s="14" t="inlineStr">
        <is>
          <t>Без изменений</t>
        </is>
      </c>
      <c r="Q27" s="15" t="n"/>
      <c r="R27" s="15" t="n"/>
      <c r="S27" s="16" t="n"/>
      <c r="T27" s="16" t="n"/>
      <c r="U27" s="15" t="n"/>
      <c r="V27" s="9" t="inlineStr">
        <is>
          <t>ADR-100; ADR-400; ADR-600</t>
        </is>
      </c>
    </row>
    <row r="28">
      <c r="A28" s="9" t="n">
        <v>26</v>
      </c>
      <c r="B28" s="23" t="inlineStr">
        <is>
          <t>Связь</t>
        </is>
      </c>
      <c r="C28" s="11" t="inlineStr">
        <is>
          <t>Backend ↔ LLM Gateway</t>
        </is>
      </c>
      <c r="D28" s="9" t="inlineStr">
        <is>
          <t>Backend; LLM Gateway</t>
        </is>
      </c>
      <c r="E28" s="9" t="inlineStr">
        <is>
          <t>Вызов функции Python в одном процессе; на MVP — HTTP, OpenAI-совместимый протокол</t>
        </is>
      </c>
      <c r="F28" s="9" t="inlineStr">
        <is>
          <t>Вызов внутри одного процесса.</t>
        </is>
      </c>
      <c r="G28" s="9" t="inlineStr">
        <is>
          <t>Вынос шлюза в отдельный контейнер — следствие целевой схемы развёртывания (C4_Deployment.html); формат конфигурации LiteLLM совместим с прокси, поэтому вынос не требует переписывания.</t>
        </is>
      </c>
      <c r="H28" s="9" t="inlineStr">
        <is>
          <t>ADR-200, раздел «LLM-хостинг», подраздел «Как устроен шлюз к модели»</t>
        </is>
      </c>
      <c r="I28" s="9" t="inlineStr">
        <is>
          <t>—</t>
        </is>
      </c>
      <c r="J28" s="9" t="inlineStr">
        <is>
          <t>Вызов по сети между контейнерами; OpenAI-совместимый протокол.</t>
        </is>
      </c>
      <c r="K28" s="9" t="inlineStr">
        <is>
          <t>HTTP внутри кластера.</t>
        </is>
      </c>
      <c r="L28" s="9" t="inlineStr">
        <is>
          <t>Следствие выноса шлюза в отдельный контейнер (см. строку LLM Gateway).</t>
        </is>
      </c>
      <c r="M28" s="19" t="n"/>
      <c r="N28" s="19" t="n"/>
      <c r="O28" s="9" t="n"/>
      <c r="P28" s="14" t="inlineStr">
        <is>
          <t>Без изменений</t>
        </is>
      </c>
      <c r="Q28" s="15" t="n"/>
      <c r="R28" s="15" t="n"/>
      <c r="S28" s="16" t="n"/>
      <c r="T28" s="16" t="n"/>
      <c r="U28" s="15" t="n"/>
      <c r="V28" s="9" t="inlineStr">
        <is>
          <t>ADR-200</t>
        </is>
      </c>
    </row>
    <row r="29">
      <c r="A29" s="9" t="n">
        <v>27</v>
      </c>
      <c r="B29" s="23" t="inlineStr">
        <is>
          <t>Связь</t>
        </is>
      </c>
      <c r="C29" s="11" t="inlineStr">
        <is>
          <t>Backend ↔ Qdrant</t>
        </is>
      </c>
      <c r="D29" s="9" t="inlineStr">
        <is>
          <t>Backend; Qdrant</t>
        </is>
      </c>
      <c r="E29" s="9" t="inlineStr">
        <is>
          <t>qdrant-client по HTTP (порт 6333)</t>
        </is>
      </c>
      <c r="F29" s="9" t="inlineStr">
        <is>
          <t>HTTP (порт 6333); запись — отдельным сервисом, Backend только читает готовый индекс.</t>
        </is>
      </c>
      <c r="G29" s="9" t="inlineStr">
        <is>
          <t>Клиент по HTTP, а не gRPC: задержка HTTP-вызова — единицы миллисекунд при бюджете поиска 100 мс, gRPC добавил бы зависимость без выигрыша.</t>
        </is>
      </c>
      <c r="H29" s="9" t="inlineStr">
        <is>
          <t>ADR-200, раздел «Сравнение вариантов по слоям», подраздел «Почему Qdrant, а не другая векторная база» (клиент по HTTP, а не gRPC)</t>
        </is>
      </c>
      <c r="I29" s="9" t="inlineStr">
        <is>
          <t>—</t>
        </is>
      </c>
      <c r="J29" s="14" t="inlineStr">
        <is>
          <t>Без изменений</t>
        </is>
      </c>
      <c r="K29" s="15" t="n"/>
      <c r="L29" s="15" t="n"/>
      <c r="M29" s="16" t="n"/>
      <c r="N29" s="16" t="n"/>
      <c r="O29" s="15" t="n"/>
      <c r="P29" s="14" t="inlineStr">
        <is>
          <t>Без изменений</t>
        </is>
      </c>
      <c r="Q29" s="15" t="n"/>
      <c r="R29" s="15" t="n"/>
      <c r="S29" s="16" t="n"/>
      <c r="T29" s="16" t="n"/>
      <c r="U29" s="15" t="n"/>
      <c r="V29" s="9" t="inlineStr">
        <is>
          <t>ADR-200</t>
        </is>
      </c>
    </row>
    <row r="30">
      <c r="A30" s="9" t="n">
        <v>28</v>
      </c>
      <c r="B30" s="23" t="inlineStr">
        <is>
          <t>Связь</t>
        </is>
      </c>
      <c r="C30" s="11" t="inlineStr">
        <is>
          <t>LLM Gateway ↔ LLM Provider</t>
        </is>
      </c>
      <c r="D30" s="9" t="inlineStr">
        <is>
          <t>LLM Gateway; внешний LLM Provider</t>
        </is>
      </c>
      <c r="E30" s="9" t="inlineStr">
        <is>
          <t>HTTPS с проверкой сертификата; LiteLLM (OpenAI-совместимый интерфейс)</t>
        </is>
      </c>
      <c r="F30" s="9" t="inlineStr">
        <is>
          <t>HTTPS с проверкой сертификата: YandexGPT (сертификаты доступны). Проверка TLS не отключается никогда.</t>
        </is>
      </c>
      <c r="G30" s="9" t="inlineStr">
        <is>
          <t>Отключить проверку сертификата ради GigaChat отклонено — по каналу идут данные абонента; вместо этого переключаемся на другого провайдера.</t>
        </is>
      </c>
      <c r="H30" s="9" t="inlineStr">
        <is>
          <t>ADR-400, раздел «Закрыто сейчас» (TLS не отключается); ADR-300, раздел 4</t>
        </is>
      </c>
      <c r="I30" s="9" t="inlineStr">
        <is>
          <t>Для GigaChat нужны корневые сертификаты НУЦ Минцифры — на машине прототипа их нет.</t>
        </is>
      </c>
      <c r="J30" s="9" t="inlineStr">
        <is>
          <t>Канал к GigaChat с корневыми сертификатами НУЦ в образе шлюза; автопереключение на резерв.</t>
        </is>
      </c>
      <c r="K30" s="9" t="inlineStr">
        <is>
          <t>HTTPS, сертификаты НУЦ Минцифры.</t>
        </is>
      </c>
      <c r="L30" s="9" t="inlineStr">
        <is>
          <t>Основной провайдер MVP — GigaChat Pro (входит в работу по строке LLM Provider).</t>
        </is>
      </c>
      <c r="M30" s="19" t="n"/>
      <c r="N30" s="19" t="n"/>
      <c r="O30" s="9" t="n"/>
      <c r="P30" s="9" t="inlineStr">
        <is>
          <t>Вызов собственной модели внутри закрытого контура.</t>
        </is>
      </c>
      <c r="Q30" s="9" t="inlineStr">
        <is>
          <t>OpenAI-совместимый интерфейс vLLM внутри сети водоканала.</t>
        </is>
      </c>
      <c r="R30" s="9" t="inlineStr">
        <is>
          <t>Данные не покидают периметр вообще, а не только территорию РФ.</t>
        </is>
      </c>
      <c r="S30" s="19" t="n"/>
      <c r="T30" s="19" t="n"/>
      <c r="U30" s="9" t="n"/>
      <c r="V30" s="9" t="inlineStr">
        <is>
          <t>ADR-400; ADR-300</t>
        </is>
      </c>
    </row>
    <row r="31">
      <c r="A31" s="9" t="n">
        <v>29</v>
      </c>
      <c r="B31" s="23" t="inlineStr">
        <is>
          <t>Связь</t>
        </is>
      </c>
      <c r="C31" s="11" t="inlineStr">
        <is>
          <t>Индексация → Qdrant</t>
        </is>
      </c>
      <c r="D31" s="9" t="inlineStr">
        <is>
          <t>ETL индексации; Qdrant</t>
        </is>
      </c>
      <c r="E31" s="9" t="inlineStr">
        <is>
          <t>qdrant-client: upsert в новую коллекцию + переключение алиаса (blue-green)</t>
        </is>
      </c>
      <c r="F31" s="9" t="inlineStr">
        <is>
          <t>Запись в новую физическую коллекцию и атомарное переключение алиаса (blue-green); удалённые документы уходят при полной пересборке.</t>
        </is>
      </c>
      <c r="G31" s="9" t="inlineStr">
        <is>
          <t>Blue-green против обновления на месте: обновление на месте оставляет интервалы с неполным индексом; цена blue-green — двойное хранение на время сборки.</t>
        </is>
      </c>
      <c r="H31" s="9" t="inlineStr">
        <is>
          <t>ADR-200, раздел «Сравнение вариантов по слоям», подраздел «Почему Qdrant, а не другая векторная база» (blue-green, а не обновление на месте)</t>
        </is>
      </c>
      <c r="I31" s="9" t="inlineStr">
        <is>
          <t>—</t>
        </is>
      </c>
      <c r="J31" s="14" t="inlineStr">
        <is>
          <t>Без изменений</t>
        </is>
      </c>
      <c r="K31" s="15" t="n"/>
      <c r="L31" s="15" t="inlineStr">
        <is>
          <t>Механизм переносится как есть; окно 02:00–05:00 описано в строке про индексацию.</t>
        </is>
      </c>
      <c r="M31" s="16" t="n"/>
      <c r="N31" s="16" t="n"/>
      <c r="O31" s="15" t="n"/>
      <c r="P31" s="14" t="inlineStr">
        <is>
          <t>Без изменений</t>
        </is>
      </c>
      <c r="Q31" s="15" t="n"/>
      <c r="R31" s="15" t="n"/>
      <c r="S31" s="16" t="n"/>
      <c r="T31" s="16" t="n"/>
      <c r="U31" s="15" t="n"/>
      <c r="V31" s="9" t="inlineStr">
        <is>
          <t>ADR-200</t>
        </is>
      </c>
    </row>
    <row r="32">
      <c r="A32" s="9" t="n">
        <v>30</v>
      </c>
      <c r="B32" s="24" t="inlineStr">
        <is>
          <t>Сквозная работа</t>
        </is>
      </c>
      <c r="C32" s="11" t="inlineStr">
        <is>
          <t>Смета CAPEX/OPEX, NFR, допущения о нагрузке</t>
        </is>
      </c>
      <c r="D32" s="9" t="inlineStr">
        <is>
          <t>Все (сквозная работа); GPU-пул и кластер — как предмет сметы</t>
        </is>
      </c>
      <c r="E32" s="9" t="inlineStr">
        <is>
          <t>Расчётные таблицы (Capacity_Report.html), формулы sizing</t>
        </is>
      </c>
      <c r="F32" s="9" t="inlineStr">
        <is>
          <t>Есть прогнозная модель с минимальным и максимальным сценарием (`Capacity_Report.html`, лист «Прогноз стоимости»): токены на MVP 1 234–101 280 ₽ в месяц, на тираже 3 305 ₽–1,07 млн ₽; цен на серверы и GPU нет. Это не смета: числа не утверждены владельцем (открытый P0).</t>
        </is>
      </c>
      <c r="G32" s="9" t="inlineStr">
        <is>
          <t>Не применимо: это работа, а не выбор технологии.</t>
        </is>
      </c>
      <c r="H32" s="9" t="inlineStr">
        <is>
          <t>Не применимо: это работа, а не выбор технологии; расчёт — Capacity_Report.html, стоимость — ADR-500</t>
        </is>
      </c>
      <c r="I32" s="9" t="inlineStr">
        <is>
          <t>Разброс стоимости токенов на MVP — ×82 между минимумом и максимумом; без статистики ЛК, колл-центра и живых обращений смета остаётся диапазоном.</t>
        </is>
      </c>
      <c r="J32" s="9" t="inlineStr">
        <is>
          <t>Смета по ценам поставщика, расчёт NFR под конкретную GPU-конфигурацию, подтверждение допущений статистикой. Первый пересчёт сметы по данным обращений и ЛК (3–5 чел-дн, после получения данных) и повторный по пилоту (1–2 чел-дн): подставить данные в лист «Прогноз стоимости», пересчитать нагрузку, стоимость и sizing, обновить отчёт о мощности, ADR-500 и матрицу.</t>
        </is>
      </c>
      <c r="K32" s="9" t="inlineStr">
        <is>
          <t>—</t>
        </is>
      </c>
      <c r="L32" s="9" t="inlineStr">
        <is>
          <t>Без этого нельзя защищать бюджет.</t>
        </is>
      </c>
      <c r="M32" s="25" t="n">
        <v>11.5</v>
      </c>
      <c r="N32" s="17" t="n">
        <v>17</v>
      </c>
      <c r="O32" s="18" t="inlineStr">
        <is>
          <t>Из блока ADR-600: P0</t>
        </is>
      </c>
      <c r="P32" s="14" t="inlineStr">
        <is>
          <t>Без изменений</t>
        </is>
      </c>
      <c r="Q32" s="15" t="n"/>
      <c r="R32" s="15" t="inlineStr">
        <is>
          <t>Пересчёт NFR под 90 000 абонентов уже сделан.</t>
        </is>
      </c>
      <c r="S32" s="16" t="n"/>
      <c r="T32" s="16" t="n"/>
      <c r="U32" s="15" t="n"/>
      <c r="V32" s="9" t="inlineStr">
        <is>
          <t>ADR-500; ADR-600</t>
        </is>
      </c>
    </row>
    <row r="33">
      <c r="A33" s="9" t="n">
        <v>31</v>
      </c>
      <c r="B33" s="24" t="inlineStr">
        <is>
          <t>Сквозная работа</t>
        </is>
      </c>
      <c r="C33" s="11" t="inlineStr">
        <is>
          <t>Внедрение ответов владельцев данных</t>
        </is>
      </c>
      <c r="D33" s="9" t="inlineStr">
        <is>
          <t>Backend (Triage, ответчики); Document Generator; Сервис работы с обращениями</t>
        </is>
      </c>
      <c r="E33" s="9" t="inlineStr">
        <is>
          <t>Справочники и тексты в коде и данных; не технология</t>
        </is>
      </c>
      <c r="F33" s="9" t="inlineStr">
        <is>
          <t>Пункты, ждущие ответа водоканала: коды типов обращений, текст о качестве воды, четыре процесса вне справочника, настоящие бланки.</t>
        </is>
      </c>
      <c r="G33" s="9" t="inlineStr">
        <is>
          <t>Не применимо: это работа, а не выбор технологии.</t>
        </is>
      </c>
      <c r="H33" s="9" t="inlineStr">
        <is>
          <t>Не применимо: это работа, а не выбор технологии; перечень пунктов — ADR-600, раздел «Ждут ответа владельцев систем»</t>
        </is>
      </c>
      <c r="I33" s="9" t="inlineStr">
        <is>
          <t>Календарный срок определяет владелец, не команда.</t>
        </is>
      </c>
      <c r="J33" s="9" t="inlineStr">
        <is>
          <t>Внедрение полученных ответов в справочники и тексты.</t>
        </is>
      </c>
      <c r="K33" s="9" t="inlineStr">
        <is>
          <t>—</t>
        </is>
      </c>
      <c r="L33" s="9" t="inlineStr">
        <is>
          <t>Разработки не требуют — требуют ответа от водоканала.</t>
        </is>
      </c>
      <c r="M33" s="17" t="n">
        <v>4</v>
      </c>
      <c r="N33" s="17" t="n">
        <v>8</v>
      </c>
      <c r="O33" s="18" t="inlineStr">
        <is>
          <t>Из блока ADR-600: Согласования</t>
        </is>
      </c>
      <c r="P33" s="14" t="inlineStr">
        <is>
          <t>Без изменений</t>
        </is>
      </c>
      <c r="Q33" s="15" t="n"/>
      <c r="R33" s="15" t="n"/>
      <c r="S33" s="16" t="n"/>
      <c r="T33" s="16" t="n"/>
      <c r="U33" s="15" t="n"/>
      <c r="V33" s="9" t="inlineStr">
        <is>
          <t>ADR-600</t>
        </is>
      </c>
    </row>
    <row r="34">
      <c r="A34" s="9" t="n">
        <v>32</v>
      </c>
      <c r="B34" s="24" t="inlineStr">
        <is>
          <t>Сквозная работа</t>
        </is>
      </c>
      <c r="C34" s="11" t="inlineStr">
        <is>
          <t>Документация и согласование ИБ</t>
        </is>
      </c>
      <c r="D34" s="9" t="inlineStr">
        <is>
          <t>Все (сквозная работа)</t>
        </is>
      </c>
      <c r="E34" s="9" t="inlineStr">
        <is>
          <t>Документы и диаграммы пакета сдачи</t>
        </is>
      </c>
      <c r="F34" s="9" t="inlineStr">
        <is>
          <t>Сверка диаграммы Backend с кодом сделана частично; согласования с ИБ по триггерам self-hosted-перехода не было.</t>
        </is>
      </c>
      <c r="G34" s="9" t="inlineStr">
        <is>
          <t>Не применимо: это работа, а не выбор технологии.</t>
        </is>
      </c>
      <c r="H34" s="9" t="inlineStr">
        <is>
          <t>Не применимо: это работа, а не выбор технологии; состав — ADR-600, раздел «Документация и согласование ИБ»</t>
        </is>
      </c>
      <c r="I34" s="9" t="inlineStr">
        <is>
          <t>Календарный срок определяет служба ИБ водоканала.</t>
        </is>
      </c>
      <c r="J34" s="9" t="inlineStr">
        <is>
          <t>Полная сверка диаграмм с кодом, нагрузочные и security-сценарии, резюме для CTO.</t>
        </is>
      </c>
      <c r="K34" s="9" t="inlineStr">
        <is>
          <t>—</t>
        </is>
      </c>
      <c r="L34" s="9" t="inlineStr">
        <is>
          <t>Условие перехода к Этапу 2 — согласование ИБ (ADR-100/600).</t>
        </is>
      </c>
      <c r="M34" s="17" t="n">
        <v>5</v>
      </c>
      <c r="N34" s="25" t="n">
        <v>7.5</v>
      </c>
      <c r="O34" s="18" t="inlineStr">
        <is>
          <t>Из блока ADR-600: Документация и ИБ</t>
        </is>
      </c>
      <c r="P34" s="9" t="inlineStr">
        <is>
          <t>Согласование перечня триггеров self-hosted-перехода с ИБ.</t>
        </is>
      </c>
      <c r="Q34" s="9" t="inlineStr">
        <is>
          <t>—</t>
        </is>
      </c>
      <c r="R34" s="9" t="inlineStr">
        <is>
          <t>Триггеры должны быть согласованы до срабатывания, а не после.</t>
        </is>
      </c>
      <c r="S34" s="19" t="n"/>
      <c r="T34" s="19" t="n"/>
      <c r="U34" s="9" t="n"/>
      <c r="V34" s="9" t="inlineStr">
        <is>
          <t>ADR-400; ADR-600</t>
        </is>
      </c>
    </row>
    <row r="35">
      <c r="A35" s="9" t="n">
        <v>33</v>
      </c>
      <c r="B35" s="24" t="inlineStr">
        <is>
          <t>Сквозная работа</t>
        </is>
      </c>
      <c r="C35" s="11" t="inlineStr">
        <is>
          <t>Выбор семейства собственной модели и закупка GPU</t>
        </is>
      </c>
      <c r="D35" s="9" t="inlineStr">
        <is>
          <t>LLM Provider (собственная модель, тираж); LLM Gateway; GPU-пул</t>
        </is>
      </c>
      <c r="E35" s="9" t="inlineStr">
        <is>
          <t>Qwen2.5-32B INT4; vLLM; 1× GPU A100 80 ГБ</t>
        </is>
      </c>
      <c r="F35" s="9" t="inlineStr">
        <is>
          <t>Выбор Qwen2.5 сделан по репутации, на эталонном наборе не проверен.</t>
        </is>
      </c>
      <c r="G35" s="9" t="inlineStr">
        <is>
          <t>Qwen2.5 (Apache 2.0, сильный русский, 7B→32B без переделки) против Llama 3.x (русский слабее — по репутации; довод «нет варианта под одну карту A100» не подтверждён: 70B в INT4 тоже поместилась бы на 80 ГБ) и открытых весов GigaChat (менее зрелый инструментарий — по общим сведениям, не проверялось).</t>
        </is>
      </c>
      <c r="H35" s="9" t="inlineStr">
        <is>
          <t>ADR-300, раздел 4, подраздел «Сравнение семейства self-hosted-модели тиража»; стоимость — ADR-500</t>
        </is>
      </c>
      <c r="I35" s="9" t="inlineStr">
        <is>
          <t>Закупка оборудования — недели или месяцы, это снабжение, не разработка.</t>
        </is>
      </c>
      <c r="J35" s="14" t="inlineStr">
        <is>
          <t>Без изменений</t>
        </is>
      </c>
      <c r="K35" s="15" t="n"/>
      <c r="L35" s="15" t="n"/>
      <c r="M35" s="16" t="n"/>
      <c r="N35" s="16" t="n"/>
      <c r="O35" s="15" t="n"/>
      <c r="P35" s="9" t="inlineStr">
        <is>
          <t>Сравнение семейств на эталонном наборе; закупка и ввод GPU-сервера 1× A100 80 ГБ.</t>
        </is>
      </c>
      <c r="Q35" s="9" t="inlineStr">
        <is>
          <t>Qwen2.5-32B INT4, vLLM.</t>
        </is>
      </c>
      <c r="R35" s="9" t="inlineStr">
        <is>
          <t>Аренда исключена не по цене, а по триггеру: облачный GPU считается внешним сервисом.</t>
        </is>
      </c>
      <c r="S35" s="20" t="n">
        <v>3</v>
      </c>
      <c r="T35" s="20" t="n">
        <v>5</v>
      </c>
      <c r="U35" s="21" t="inlineStr">
        <is>
          <t>ADR-600</t>
        </is>
      </c>
      <c r="V35" s="9" t="inlineStr">
        <is>
          <t>ADR-300; ADR-500; ADR-600</t>
        </is>
      </c>
    </row>
    <row r="36">
      <c r="A36" s="9" t="n">
        <v>34</v>
      </c>
      <c r="B36" s="24" t="inlineStr">
        <is>
          <t>Сквозная работа</t>
        </is>
      </c>
      <c r="C36" s="11" t="inlineStr">
        <is>
          <t>Анализ всех типов обращений на живых данных и повторный выбор моделей</t>
        </is>
      </c>
      <c r="D36" s="9" t="inlineStr">
        <is>
          <t>Backend (Triage, ответчики); embedding-inference; reranker-inference; Qdrant (переиндексация при смене модели); LLM Gateway (пороги)</t>
        </is>
      </c>
      <c r="E36" s="9" t="inlineStr">
        <is>
          <t>Скрипты замера (`scripts/`), `golden_set/`, PII Filter; результат — Inquiry_Types.xlsx</t>
        </is>
      </c>
      <c r="F36" s="9" t="inlineStr">
        <is>
          <t>Замер на 136 настоящих обращениях (по 9 текстов на тип; `Inquiry_Types.xlsx`): слова подбирались на тех же текстах, на отложенной трети охват 75%, точность 65%. Модели выбраны по репутации и замеру задержки.</t>
        </is>
      </c>
      <c r="G36" s="9" t="inlineStr">
        <is>
          <t>Не применимо: это работа, а не выбор технологии; сравнение моделей входит в её состав.</t>
        </is>
      </c>
      <c r="H36" s="9" t="inlineStr">
        <is>
          <t>ADR-300, разделы 1–2 (решение); ADR-600, раздел «Анализ типов обращений на живых данных»</t>
        </is>
      </c>
      <c r="I36" s="9" t="inlineStr">
        <is>
          <t>Метка типа в выгрузке поставлена оператором, знавшим больше, чем написано в тексте; выборка мала; у девяти типов нет запасного k-NN; качество BGE-M3 против e5-small не сравнивалось; пороги k-NN не переносятся на другую модель.</t>
        </is>
      </c>
      <c r="J36" s="9" t="inlineStr">
        <is>
          <t>Выгрузка живых обращений (не менее 100 на тип), обезличивание, разметка, анализ всех 16 типов и 6 тем; заново собрать таблицу типов и тем; после этого заново выбрать модели эмбеддингов и запасного классификатора для MVP (сравнение — в строке «Эмбеддинги»).</t>
        </is>
      </c>
      <c r="K36" s="9" t="inlineStr">
        <is>
          <t>Скрипты замера (`scripts/measure_classifier.py`, `measure_search_models.py`), `golden_set/`, PII Filter; результат — обновлённый `Inquiry_Types.xlsx`.</t>
        </is>
      </c>
      <c r="L36" s="9" t="inlineStr">
        <is>
          <t>Выбор моделей по репутации нельзя защищать без замера качества на живых данных; смена модели эмбеддингов — самое дорогое решение для отмены (полная переиндексация). Зафиксировано в ADR-300 и ADR-600. Оценка не включает сравнение моделей и расширение классификатора — они учтены в строках «Эмбеддинги» и «Классификатор обращений».</t>
        </is>
      </c>
      <c r="M36" s="17" t="n">
        <v>13</v>
      </c>
      <c r="N36" s="17" t="n">
        <v>19</v>
      </c>
      <c r="O36" s="18" t="inlineStr">
        <is>
          <t>Из блока ADR-600: Анализ типов на живых данных</t>
        </is>
      </c>
      <c r="P36" s="9" t="inlineStr">
        <is>
          <t>Повторное решение по моделям для тиража по живой статистике MVP.</t>
        </is>
      </c>
      <c r="Q36" s="9" t="inlineStr">
        <is>
          <t>Те же скрипты замера; при смене модели — переиндексация и пересчёт порогов k-NN.</t>
        </is>
      </c>
      <c r="R36" s="9" t="inlineStr">
        <is>
          <t>Проверить, что модель MVP годится при нагрузке тиража; при необходимости пересчитать пороги и sizing.</t>
        </is>
      </c>
      <c r="S36" s="20" t="n">
        <v>2</v>
      </c>
      <c r="T36" s="20" t="n">
        <v>3</v>
      </c>
      <c r="U36" s="21" t="inlineStr">
        <is>
          <t>ADR-600</t>
        </is>
      </c>
      <c r="V36" s="9" t="inlineStr">
        <is>
          <t>ADR-300; ADR-600; Inquiry_Types.xlsx</t>
        </is>
      </c>
    </row>
    <row r="37">
      <c r="A37" s="9" t="n">
        <v>35</v>
      </c>
      <c r="B37" s="24" t="inlineStr">
        <is>
          <t>Сквозная работа</t>
        </is>
      </c>
      <c r="C37" s="11" t="inlineStr">
        <is>
          <t>Проверка на живых данных: Guardrails и выбор провайдера (YandexGPT, GigaChat)</t>
        </is>
      </c>
      <c r="D37" s="9" t="inlineStr">
        <is>
          <t>LLM Gateway; Guardrails; LLM Provider (YandexGPT, GigaChat); Backend; PII Filter</t>
        </is>
      </c>
      <c r="E37" s="9" t="inlineStr">
        <is>
          <t>Скрипты замера (`scripts/`), судья качества, метрики Prometheus, LiteLLM Router (цепочки переключения), PII Filter</t>
        </is>
      </c>
      <c r="F37" s="9" t="inlineStr">
        <is>
          <t>Проверки Guardrails и выбор провайдеров сделаны без живых вопросов и ответов: на прототипе работает YandexGPT (и локальная модель для тестов), GigaChat недоступен.</t>
        </is>
      </c>
      <c r="G37" s="9" t="inlineStr">
        <is>
          <t>Не применимо: это работа, а не выбор технологии; сравнение YandexGPT и GigaChat на живых данных — её содержание.</t>
        </is>
      </c>
      <c r="H37" s="9" t="inlineStr">
        <is>
          <t>ADR-300, раздел 4 (провайдеры, «Выбор провайдера для MVP предварительный»); ADR-400, «Проверка работоспособности Guardrails на живых данных»; ADR-600, раздел «Проверка Guardrails и выбор провайдера на живых данных»</t>
        </is>
      </c>
      <c r="I37" s="9" t="inlineStr">
        <is>
          <t>Неизвестны частота ложных блокировок и пропусков Guardrails на живых ответах; неизвестно, какой из двух провайдеров лучше на вопросах абонентов и кто из них должен быть запасным.</t>
        </is>
      </c>
      <c r="J37" s="9" t="inlineStr">
        <is>
          <t>1) Проверка работоспособности Guardrails на ограниченном объёме живых вопросов (порядка 100–200): разметка нарушений, ложные срабатывания и пропуски, правка шаблонов. 2) Тест YandexGPT и GigaChat Pro на той же выборке: качество, время до первого куска и полного ответа, доля блокировок, сбои, стоимость. 3) Решение об основном и запасном провайдере, запись в ADR-300, настройка цепочек переключения.</t>
        </is>
      </c>
      <c r="K37" s="9" t="inlineStr">
        <is>
          <t>Скрипты замера (`scripts/run_quality_eval.py`, `scripts/check_yandex.py`), судья качества, метрики Prometheus, LiteLLM Router (цепочки переключения), PII Filter; результат — решение в ADR-300 и конфигурация.</t>
        </is>
      </c>
      <c r="L37" s="9" t="inlineStr">
        <is>
          <t>Без живых данных нельзя обосновать ни пороги проверок ответа, ни выбор основного и запасного провайдера. Настройка GigaChat (сертификаты НУЦ, ключ) учтена в строке «LLM Provider» и сюда не входит. Сюда же входит оптимизация синхронной проверки: проверять новый кусок с перекрытием, а не весь накопленный текст, и замер на ответах 500–3 000 знаков (1–2 чел-дн).</t>
        </is>
      </c>
      <c r="M37" s="17" t="n">
        <v>11</v>
      </c>
      <c r="N37" s="17" t="n">
        <v>18</v>
      </c>
      <c r="O37" s="18" t="inlineStr">
        <is>
          <t>Из блока ADR-600: Проверка Guardrails и провайдеров на живых данных</t>
        </is>
      </c>
      <c r="P37" s="14" t="inlineStr">
        <is>
          <t>Без изменений</t>
        </is>
      </c>
      <c r="Q37" s="15" t="n"/>
      <c r="R37" s="15" t="n"/>
      <c r="S37" s="16" t="n"/>
      <c r="T37" s="16" t="n"/>
      <c r="U37" s="15" t="n"/>
      <c r="V37" s="9" t="inlineStr">
        <is>
          <t>ADR-300; ADR-400; ADR-600</t>
        </is>
      </c>
    </row>
    <row r="39">
      <c r="C39" s="26" t="inlineStr">
        <is>
          <t>Цвет ячеек с оценкой:</t>
        </is>
      </c>
    </row>
    <row r="40">
      <c r="C40" s="27" t="n"/>
      <c r="D40" s="28" t="inlineStr">
        <is>
          <t>цифра прямо из ADR-600</t>
        </is>
      </c>
    </row>
    <row r="41">
      <c r="C41" s="29" t="n"/>
      <c r="D41" s="28" t="inlineStr">
        <is>
          <t>цифра блока ADR-600 (или его доля, распределённая автором) — подтвердить</t>
        </is>
      </c>
    </row>
    <row r="42">
      <c r="C42" s="30" t="n"/>
      <c r="D42" s="28" t="inlineStr">
        <is>
          <t>в ADR-600 нет, оценка автора — подтвердить</t>
        </is>
      </c>
    </row>
    <row r="43">
      <c r="C43" s="31" t="n"/>
      <c r="D43" s="28" t="inlineStr">
        <is>
          <t>изменений на этом этапе нет</t>
        </is>
      </c>
    </row>
  </sheetData>
  <autoFilter ref="A2:V37"/>
  <mergeCells count="4">
    <mergeCell ref="E1:I1"/>
    <mergeCell ref="A1:D1"/>
    <mergeCell ref="P1:U1"/>
    <mergeCell ref="J1:O1"/>
  </mergeCells>
  <pageMargins left="0.75" right="0.75" top="1" bottom="1" header="0.5" footer="0.5"/>
  <pageSetup orientation="landscape" paperSize="8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K33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46" customWidth="1" min="3" max="3"/>
    <col width="16" customWidth="1" min="4" max="4"/>
    <col width="16" customWidth="1" min="5" max="5"/>
    <col width="16" customWidth="1" min="6" max="6"/>
    <col width="44" customWidth="1" min="7" max="7"/>
    <col width="18" customWidth="1" min="8" max="8"/>
    <col width="18" customWidth="1" min="9" max="9"/>
    <col width="18" customWidth="1" min="10" max="10"/>
    <col width="18" customWidth="1" min="11" max="11"/>
  </cols>
  <sheetData>
    <row r="1">
      <c r="A1" s="32" t="inlineStr">
        <is>
          <t>Стоимость доработок по контурам</t>
        </is>
      </c>
    </row>
    <row r="2">
      <c r="A2" s="33" t="inlineStr">
        <is>
          <t>Единица — человеко-день. 1 неделя = 5 чел-дн; размер команды в ADR-600 не задан, поэтому считается как один исполнитель.</t>
        </is>
      </c>
    </row>
    <row r="4" ht="44" customHeight="1">
      <c r="A4" s="5" t="inlineStr">
        <is>
          <t>Контур</t>
        </is>
      </c>
      <c r="B4" s="5" t="inlineStr">
        <is>
          <t>Итого, чел-дн (мин)</t>
        </is>
      </c>
      <c r="C4" s="5" t="inlineStr">
        <is>
          <t>Итого, чел-дн (макс)</t>
        </is>
      </c>
      <c r="D4" s="5" t="inlineStr">
        <is>
          <t>Чел-нед (мин)</t>
        </is>
      </c>
      <c r="E4" s="5" t="inlineStr">
        <is>
          <t>Чел-нед (макс)</t>
        </is>
      </c>
      <c r="F4" s="5" t="inlineStr">
        <is>
          <t>Прямо из ADR-600 (мин)</t>
        </is>
      </c>
      <c r="G4" s="5" t="inlineStr">
        <is>
          <t>Прямо из ADR-600 (макс)</t>
        </is>
      </c>
      <c r="H4" s="5" t="inlineStr">
        <is>
          <t>Доли блоков ADR-600 (мин)</t>
        </is>
      </c>
      <c r="I4" s="5" t="inlineStr">
        <is>
          <t>Доли блоков ADR-600 (макс)</t>
        </is>
      </c>
      <c r="J4" s="5" t="inlineStr">
        <is>
          <t>Оценка автора (мин)</t>
        </is>
      </c>
      <c r="K4" s="5" t="inlineStr">
        <is>
          <t>Оценка автора (макс)</t>
        </is>
      </c>
    </row>
    <row r="5">
      <c r="A5" s="11" t="inlineStr">
        <is>
          <t>MVP — 8 000 абонентов</t>
        </is>
      </c>
      <c r="B5" s="34">
        <f>SUM('Матрица'!$M$3:$M$37)</f>
        <v/>
      </c>
      <c r="C5" s="34">
        <f>SUM('Матрица'!$N$3:$N$37)</f>
        <v/>
      </c>
      <c r="D5" s="34">
        <f>B5/5</f>
        <v/>
      </c>
      <c r="E5" s="34">
        <f>C5/5</f>
        <v/>
      </c>
      <c r="F5" s="35">
        <f>SUMIF('Матрица'!$O$3:$O$37,"ADR-600",'Матрица'!$M$3:$M$37)</f>
        <v/>
      </c>
      <c r="G5" s="35">
        <f>SUMIF('Матрица'!$O$3:$O$37,"ADR-600",'Матрица'!$N$3:$N$37)</f>
        <v/>
      </c>
      <c r="H5" s="36">
        <f>SUMIF('Матрица'!$O$3:$O$37,"Из блока*",'Матрица'!$M$3:$M$37)</f>
        <v/>
      </c>
      <c r="I5" s="36">
        <f>SUMIF('Матрица'!$O$3:$O$37,"Из блока*",'Матрица'!$N$3:$N$37)</f>
        <v/>
      </c>
      <c r="J5" s="37">
        <f>SUMIF('Матрица'!$O$3:$O$37,"Оценка автора",'Матрица'!$M$3:$M$37)</f>
        <v/>
      </c>
      <c r="K5" s="37">
        <f>SUMIF('Матрица'!$O$3:$O$37,"Оценка автора",'Матрица'!$N$3:$N$37)</f>
        <v/>
      </c>
    </row>
    <row r="6">
      <c r="A6" s="11" t="inlineStr">
        <is>
          <t>Тираж — 90 000 абонентов</t>
        </is>
      </c>
      <c r="B6" s="34">
        <f>SUM('Матрица'!$S$3:$S$37)</f>
        <v/>
      </c>
      <c r="C6" s="34">
        <f>SUM('Матрица'!$T$3:$T$37)</f>
        <v/>
      </c>
      <c r="D6" s="34">
        <f>B6/5</f>
        <v/>
      </c>
      <c r="E6" s="34">
        <f>C6/5</f>
        <v/>
      </c>
      <c r="F6" s="35">
        <f>SUMIF('Матрица'!$U$3:$U$37,"ADR-600",'Матрица'!$S$3:$S$37)</f>
        <v/>
      </c>
      <c r="G6" s="35">
        <f>SUMIF('Матрица'!$U$3:$U$37,"ADR-600",'Матрица'!$T$3:$T$37)</f>
        <v/>
      </c>
      <c r="H6" s="36">
        <f>SUMIF('Матрица'!$U$3:$U$37,"Из блока*",'Матрица'!$S$3:$S$37)</f>
        <v/>
      </c>
      <c r="I6" s="36">
        <f>SUMIF('Матрица'!$U$3:$U$37,"Из блока*",'Матрица'!$T$3:$T$37)</f>
        <v/>
      </c>
      <c r="J6" s="37">
        <f>SUMIF('Матрица'!$U$3:$U$37,"Оценка автора",'Матрица'!$S$3:$S$37)</f>
        <v/>
      </c>
      <c r="K6" s="37">
        <f>SUMIF('Матрица'!$U$3:$U$37,"Оценка автора",'Матрица'!$T$3:$T$37)</f>
        <v/>
      </c>
    </row>
    <row r="7">
      <c r="A7" s="11" t="inlineStr">
        <is>
          <t>Итого</t>
        </is>
      </c>
      <c r="B7" s="38">
        <f>SUM(B5:B6)</f>
        <v/>
      </c>
      <c r="C7" s="38">
        <f>SUM(C5:C6)</f>
        <v/>
      </c>
      <c r="D7" s="38">
        <f>SUM(D5:D6)</f>
        <v/>
      </c>
      <c r="E7" s="38">
        <f>SUM(E5:E6)</f>
        <v/>
      </c>
      <c r="F7" s="38">
        <f>SUM(F5:F6)</f>
        <v/>
      </c>
      <c r="G7" s="38">
        <f>SUM(G5:G6)</f>
        <v/>
      </c>
      <c r="H7" s="38">
        <f>SUM(H5:H6)</f>
        <v/>
      </c>
      <c r="I7" s="38">
        <f>SUM(I5:I6)</f>
        <v/>
      </c>
      <c r="J7" s="38">
        <f>SUM(J5:J6)</f>
        <v/>
      </c>
      <c r="K7" s="38">
        <f>SUM(K5:K6)</f>
        <v/>
      </c>
    </row>
    <row r="8">
      <c r="A8" s="33" t="inlineStr">
        <is>
          <t>«Оценка автора» — работы, которых нет в ADR-600 (инфраструктура MVP, виджет, вынос шлюза и т. п.); поэтому итог MVP больше, чем «9–13 недель» ADR-600.</t>
        </is>
      </c>
    </row>
    <row r="9">
      <c r="A9" s="11" t="inlineStr">
        <is>
          <t>Ставка, ₽ за чел-день (не задана — введите)</t>
        </is>
      </c>
      <c r="B9" s="39" t="n"/>
      <c r="C9" s="40" t="n"/>
      <c r="D9" s="41" t="n"/>
    </row>
    <row r="10">
      <c r="A10" s="9" t="inlineStr">
        <is>
          <t>Стоимость доработок MVP, ₽ (мин — макс)</t>
        </is>
      </c>
      <c r="B10" s="39" t="n"/>
      <c r="C10" s="40" t="n"/>
      <c r="D10" s="42">
        <f>IF($D$9="","",B5*$D$9)</f>
        <v/>
      </c>
      <c r="E10" s="42">
        <f>IF($D$9="","",C5*$D$9)</f>
        <v/>
      </c>
    </row>
    <row r="11">
      <c r="A11" s="9" t="inlineStr">
        <is>
          <t>Стоимость доработок тиража, ₽ (мин — макс)</t>
        </is>
      </c>
      <c r="B11" s="39" t="n"/>
      <c r="C11" s="40" t="n"/>
      <c r="D11" s="42">
        <f>IF($D$9="","",B6*$D$9)</f>
        <v/>
      </c>
      <c r="E11" s="42">
        <f>IF($D$9="","",C6*$D$9)</f>
        <v/>
      </c>
    </row>
    <row r="13">
      <c r="A13" s="43" t="inlineStr">
        <is>
          <t>Сверка с блоками ADR-600 (MVP)</t>
        </is>
      </c>
    </row>
    <row r="14" ht="44" customHeight="1">
      <c r="A14" s="5" t="inlineStr">
        <is>
          <t>Блок ADR-600</t>
        </is>
      </c>
      <c r="B14" s="5" t="inlineStr">
        <is>
          <t>ADR-600 (мин), чел-дн</t>
        </is>
      </c>
      <c r="C14" s="5" t="inlineStr">
        <is>
          <t>ADR-600 (макс), чел-дн</t>
        </is>
      </c>
      <c r="D14" s="5" t="inlineStr">
        <is>
          <t>Сумма по строкам (мин)</t>
        </is>
      </c>
      <c r="E14" s="5" t="inlineStr">
        <is>
          <t>Сумма по строкам (макс)</t>
        </is>
      </c>
      <c r="F14" s="5" t="inlineStr">
        <is>
          <t>Сходится?</t>
        </is>
      </c>
      <c r="G14" s="5" t="inlineStr">
        <is>
          <t>Как получена цифра ADR-600</t>
        </is>
      </c>
    </row>
    <row r="15">
      <c r="A15" s="11" t="inlineStr">
        <is>
          <t>P0</t>
        </is>
      </c>
      <c r="B15" s="34" t="n">
        <v>11.5</v>
      </c>
      <c r="C15" s="34" t="n">
        <v>17</v>
      </c>
      <c r="D15" s="34">
        <f>SUMIF('Матрица'!$O$3:$O$37,"Из блока ADR-600: P0",'Матрица'!$M$3:$M$37)</f>
        <v/>
      </c>
      <c r="E15" s="34">
        <f>SUMIF('Матрица'!$O$3:$O$37,"Из блока ADR-600: P0",'Матрица'!$N$3:$N$37)</f>
        <v/>
      </c>
      <c r="F15" s="44">
        <f>IF(AND(D15=B15,E15=C15),"да","НЕТ")</f>
        <v/>
      </c>
      <c r="G15" s="9" t="inlineStr">
        <is>
          <t>≈2,5–3,5 недели: смета 1–2 дня, NFR 2–3 дня, допущения нагрузки 1 неделя, пересчёт по данным 3–5 + по пилоту 1–2 чел-дн</t>
        </is>
      </c>
    </row>
    <row r="16">
      <c r="A16" s="11" t="inlineStr">
        <is>
          <t>Согласования</t>
        </is>
      </c>
      <c r="B16" s="34" t="n">
        <v>4</v>
      </c>
      <c r="C16" s="34" t="n">
        <v>8</v>
      </c>
      <c r="D16" s="34">
        <f>SUMIF('Матрица'!$O$3:$O$37,"Из блока ADR-600: Согласования",'Матрица'!$M$3:$M$37)</f>
        <v/>
      </c>
      <c r="E16" s="34">
        <f>SUMIF('Матрица'!$O$3:$O$37,"Из блока ADR-600: Согласования",'Матрица'!$N$3:$N$37)</f>
        <v/>
      </c>
      <c r="F16" s="44">
        <f>IF(AND(D16=B16,E16=C16),"да","НЕТ")</f>
        <v/>
      </c>
      <c r="G16" s="9" t="inlineStr">
        <is>
          <t>1–2 дня на пункт; пунктов принято 4 (коды типов, текст о качестве воды, четыре процесса вне справочника, настоящие бланки) — подтвердить</t>
        </is>
      </c>
    </row>
    <row r="17">
      <c r="A17" s="11" t="inlineStr">
        <is>
          <t>Качество поиска и классификации</t>
        </is>
      </c>
      <c r="B17" s="34" t="n">
        <v>35</v>
      </c>
      <c r="C17" s="34" t="n">
        <v>51</v>
      </c>
      <c r="D17" s="34">
        <f>SUMIF('Матрица'!$O$3:$O$37,"Из блока ADR-600: Качество поиска и классификации",'Матрица'!$M$3:$M$37)</f>
        <v/>
      </c>
      <c r="E17" s="34">
        <f>SUMIF('Матрица'!$O$3:$O$37,"Из блока ADR-600: Качество поиска и классификации",'Матрица'!$N$3:$N$37)</f>
        <v/>
      </c>
      <c r="F17" s="44">
        <f>IF(AND(D17=B17,E17=C17),"да","НЕТ")</f>
        <v/>
      </c>
      <c r="G17" s="9" t="inlineStr">
        <is>
          <t>≈7–10 недель: классификатор 8–12 + эмбеддинги 10–14 + реранкер 7–10 + судья 6–9 + полнота обезличивания 4–6</t>
        </is>
      </c>
    </row>
    <row r="18">
      <c r="A18" s="11" t="inlineStr">
        <is>
          <t>Основная разработка Этапа 2</t>
        </is>
      </c>
      <c r="B18" s="34" t="n">
        <v>20</v>
      </c>
      <c r="C18" s="34" t="n">
        <v>30</v>
      </c>
      <c r="D18" s="34">
        <f>SUMIF('Матрица'!$O$3:$O$37,"Из блока ADR-600: Основная разработка Этапа 2",'Матрица'!$M$3:$M$37)</f>
        <v/>
      </c>
      <c r="E18" s="34">
        <f>SUMIF('Матрица'!$O$3:$O$37,"Из блока ADR-600: Основная разработка Этапа 2",'Матрица'!$N$3:$N$37)</f>
        <v/>
      </c>
      <c r="F18" s="44">
        <f>IF(AND(D18=B18,E18=C18),"да","НЕТ")</f>
        <v/>
      </c>
      <c r="G18" s="9" t="inlineStr">
        <is>
          <t>4–6 недель</t>
        </is>
      </c>
    </row>
    <row r="19">
      <c r="A19" s="11" t="inlineStr">
        <is>
          <t>Документация и ИБ</t>
        </is>
      </c>
      <c r="B19" s="34" t="n">
        <v>5</v>
      </c>
      <c r="C19" s="34" t="n">
        <v>7.5</v>
      </c>
      <c r="D19" s="34">
        <f>SUMIF('Матрица'!$O$3:$O$37,"Из блока ADR-600: Документация и ИБ",'Матрица'!$M$3:$M$37)</f>
        <v/>
      </c>
      <c r="E19" s="34">
        <f>SUMIF('Матрица'!$O$3:$O$37,"Из блока ADR-600: Документация и ИБ",'Матрица'!$N$3:$N$37)</f>
        <v/>
      </c>
      <c r="F19" s="44">
        <f>IF(AND(D19=B19,E19=C19),"да","НЕТ")</f>
        <v/>
      </c>
      <c r="G19" s="9" t="inlineStr">
        <is>
          <t>1–1,5 недели</t>
        </is>
      </c>
    </row>
    <row r="20">
      <c r="A20" s="11" t="inlineStr">
        <is>
          <t>Анализ типов на живых данных</t>
        </is>
      </c>
      <c r="B20" s="34" t="n">
        <v>13</v>
      </c>
      <c r="C20" s="34" t="n">
        <v>19</v>
      </c>
      <c r="D20" s="34">
        <f>SUMIF('Матрица'!$O$3:$O$37,"Из блока ADR-600: Анализ типов на живых данных",'Матрица'!$M$3:$M$37)</f>
        <v/>
      </c>
      <c r="E20" s="34">
        <f>SUMIF('Матрица'!$O$3:$O$37,"Из блока ADR-600: Анализ типов на живых данных",'Матрица'!$N$3:$N$37)</f>
        <v/>
      </c>
      <c r="F20" s="44">
        <f>IF(AND(D20=B20,E20=C20),"да","НЕТ")</f>
        <v/>
      </c>
      <c r="G20" s="9" t="inlineStr">
        <is>
          <t>13–19 чел-дн (ADR-600, дополнительно к блоку «Качество поиска и классификации»)</t>
        </is>
      </c>
    </row>
    <row r="21">
      <c r="A21" s="11" t="inlineStr">
        <is>
          <t>Проверка Guardrails и провайдеров на живых данных</t>
        </is>
      </c>
      <c r="B21" s="34" t="n">
        <v>11</v>
      </c>
      <c r="C21" s="34" t="n">
        <v>18</v>
      </c>
      <c r="D21" s="34">
        <f>SUMIF('Матрица'!$O$3:$O$37,"Из блока ADR-600: Проверка Guardrails и провайдеров на живых данных",'Матрица'!$M$3:$M$37)</f>
        <v/>
      </c>
      <c r="E21" s="34">
        <f>SUMIF('Матрица'!$O$3:$O$37,"Из блока ADR-600: Проверка Guardrails и провайдеров на живых данных",'Матрица'!$N$3:$N$37)</f>
        <v/>
      </c>
      <c r="F21" s="44">
        <f>IF(AND(D21=B21,E21=C21),"да","НЕТ")</f>
        <v/>
      </c>
      <c r="G21" s="9" t="inlineStr">
        <is>
          <t>11–18 чел-дн (ADR-600): выборка 1–2, Guardrails 4–6, оптимизация синхронной проверки 1–2, сравнение провайдеров 4–6, решение 1–2</t>
        </is>
      </c>
    </row>
    <row r="22">
      <c r="A22" s="11" t="inlineStr">
        <is>
          <t>Итого по блокам</t>
        </is>
      </c>
      <c r="B22" s="38">
        <f>SUM(B15:B21)</f>
        <v/>
      </c>
      <c r="C22" s="38">
        <f>SUM(C15:C21)</f>
        <v/>
      </c>
      <c r="D22" s="38">
        <f>SUM(D15:D21)</f>
        <v/>
      </c>
      <c r="E22" s="38">
        <f>SUM(E15:E21)</f>
        <v/>
      </c>
      <c r="F22" s="45">
        <f>IF(AND(D22=B22,E22=C22),"да","НЕТ")</f>
        <v/>
      </c>
      <c r="G22" s="9" t="inlineStr">
        <is>
          <t>ADR-600 называет итог ≈20–30 недель (≈100–150 чел-дн); сумма блоков 99,5–150,5 — округление в самом ADR-600</t>
        </is>
      </c>
    </row>
    <row r="24">
      <c r="A24" s="43" t="inlineStr">
        <is>
          <t>Затраты, которые не выражаются человеко-днями</t>
        </is>
      </c>
    </row>
    <row r="25">
      <c r="A25" s="5" t="inlineStr">
        <is>
          <t>Контур</t>
        </is>
      </c>
      <c r="B25" s="5" t="inlineStr">
        <is>
          <t>Статья</t>
        </is>
      </c>
      <c r="C25" s="5" t="inlineStr">
        <is>
          <t>Значение / комментарий</t>
        </is>
      </c>
      <c r="D25" s="5" t="inlineStr">
        <is>
          <t>От</t>
        </is>
      </c>
      <c r="E25" s="5" t="inlineStr">
        <is>
          <t>До</t>
        </is>
      </c>
      <c r="F25" s="5" t="inlineStr">
        <is>
          <t>Единица</t>
        </is>
      </c>
      <c r="G25" s="5" t="inlineStr">
        <is>
          <t>Источник</t>
        </is>
      </c>
    </row>
    <row r="26">
      <c r="A26" s="11" t="inlineStr">
        <is>
          <t>MVP</t>
        </is>
      </c>
      <c r="B26" s="9" t="inlineStr">
        <is>
          <t>Токены генерации (YandexGPT Pro, 0,8 ₽ за 1000 токенов)</t>
        </is>
      </c>
      <c r="C26" s="9" t="inlineStr">
        <is>
          <t>Минимум — 1 234 ₽/мес (7% абонентов в чате, 30% вопросов до модели, 401 токен на запрос, судья раз в неделю); максимум — 101 280 ₽/мес (35%, 70%, 3 500 токенов, судья каждую ночь). Допущения о спросе данными водоканала не подтверждены; разброс ×82</t>
        </is>
      </c>
      <c r="D26" s="42" t="n">
        <v>1234</v>
      </c>
      <c r="E26" s="42" t="n">
        <v>101280</v>
      </c>
      <c r="F26" s="9" t="inlineStr">
        <is>
          <t>₽/мес</t>
        </is>
      </c>
      <c r="G26" s="9" t="inlineStr">
        <is>
          <t>Capacity_Report; лист «Прогноз стоимости»</t>
        </is>
      </c>
    </row>
    <row r="27">
      <c r="A27" s="11" t="inlineStr">
        <is>
          <t>Тираж</t>
        </is>
      </c>
      <c r="B27" s="9" t="inlineStr">
        <is>
          <t>Токены генерации и судьи качества (тариф YandexGPT Pro 0,8 ₽ за 1000 токенов)</t>
        </is>
      </c>
      <c r="C27" s="9" t="inlineStr">
        <is>
          <t>Минимум — 3 305 ₽/мес, максимум — 1,07 млн ₽/мес (0,66 вопроса/с в пике); при собственной модели заменяется CAPEX на карту</t>
        </is>
      </c>
      <c r="D27" s="42" t="n">
        <v>3305</v>
      </c>
      <c r="E27" s="42" t="n">
        <v>1065600</v>
      </c>
      <c r="F27" s="9" t="inlineStr">
        <is>
          <t>₽/мес</t>
        </is>
      </c>
      <c r="G27" s="9" t="inlineStr">
        <is>
          <t>Capacity_Report; лист «Прогноз стоимости»</t>
        </is>
      </c>
    </row>
    <row r="28">
      <c r="A28" s="11" t="inlineStr">
        <is>
          <t>MVP</t>
        </is>
      </c>
      <c r="B28" s="9" t="inlineStr">
        <is>
          <t>GPU-сервер под эмбеддинги и реранкер</t>
        </is>
      </c>
      <c r="C28" s="9" t="inlineStr">
        <is>
          <t>Не оценён отдельной строкой сметы; скорость на GPU не измерялась</t>
        </is>
      </c>
      <c r="D28" s="42" t="n"/>
      <c r="E28" s="42" t="n"/>
      <c r="F28" s="9" t="inlineStr">
        <is>
          <t>₽</t>
        </is>
      </c>
      <c r="G28" s="9" t="inlineStr">
        <is>
          <t>ADR-500 (открытый пункт)</t>
        </is>
      </c>
    </row>
    <row r="29">
      <c r="A29" s="11" t="inlineStr">
        <is>
          <t>MVP</t>
        </is>
      </c>
      <c r="B29" s="9" t="inlineStr">
        <is>
          <t>Kubernetes-кластер, хранилища, наблюдаемость (железо, размещение, обслуживание)</t>
        </is>
      </c>
      <c r="C29" s="9" t="inlineStr">
        <is>
          <t>Не оценены</t>
        </is>
      </c>
      <c r="D29" s="42" t="n"/>
      <c r="E29" s="42" t="n"/>
      <c r="F29" s="9" t="inlineStr">
        <is>
          <t>₽</t>
        </is>
      </c>
      <c r="G29" s="9" t="inlineStr">
        <is>
          <t>ADR-500 (открытый пункт)</t>
        </is>
      </c>
    </row>
    <row r="30">
      <c r="A30" s="11" t="inlineStr">
        <is>
          <t>Тираж</t>
        </is>
      </c>
      <c r="B30" s="9" t="inlineStr">
        <is>
          <t>Карта A100 80 ГБ (покупка)</t>
        </is>
      </c>
      <c r="C30" s="9" t="inlineStr">
        <is>
          <t>OEM ≈927 000 ₽; оригинал/сертифицированная ≈2 368 080 ₽ (аренда 35–50 тыс. ₽/мес исключена триггером). Источник цен в проекте не зафиксирован, коммерческих предложений нет — подтвердить</t>
        </is>
      </c>
      <c r="D30" s="42" t="n">
        <v>927000</v>
      </c>
      <c r="E30" s="42" t="n">
        <v>2368080</v>
      </c>
      <c r="F30" s="9" t="inlineStr">
        <is>
          <t>₽</t>
        </is>
      </c>
      <c r="G30" s="9" t="inlineStr">
        <is>
          <t>ADR-500</t>
        </is>
      </c>
    </row>
    <row r="31">
      <c r="A31" s="11" t="inlineStr">
        <is>
          <t>Тираж</t>
        </is>
      </c>
      <c r="B31" s="9" t="inlineStr">
        <is>
          <t>Сервер-хост, электричество, размещение, обслуживание GPU</t>
        </is>
      </c>
      <c r="C31" s="9" t="inlineStr">
        <is>
          <t>Не оценены</t>
        </is>
      </c>
      <c r="D31" s="42" t="n"/>
      <c r="E31" s="42" t="n"/>
      <c r="F31" s="9" t="inlineStr">
        <is>
          <t>₽</t>
        </is>
      </c>
      <c r="G31" s="9" t="inlineStr">
        <is>
          <t>ADR-500 (открытый пункт)</t>
        </is>
      </c>
    </row>
    <row r="33">
      <c r="A33" s="33" t="inlineStr">
        <is>
          <t>Все суммы в ₽ — прогнозная модель, не смета: CAPEX/OPEX не утверждены владельцем (ADR-500). Закупка GPU — недели или месяцы лид-тайма, не разработка.</t>
        </is>
      </c>
    </row>
  </sheetData>
  <mergeCells count="3">
    <mergeCell ref="A10:C10"/>
    <mergeCell ref="A9:C9"/>
    <mergeCell ref="A11:C11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F52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4" customWidth="1" min="2" max="2"/>
    <col width="12" customWidth="1" min="3" max="3"/>
    <col width="12" customWidth="1" min="4" max="4"/>
    <col width="12" customWidth="1" min="5" max="5"/>
    <col width="52" customWidth="1" min="6" max="6"/>
  </cols>
  <sheetData>
    <row r="1">
      <c r="A1" s="32" t="inlineStr">
        <is>
          <t>Источники и допущения</t>
        </is>
      </c>
    </row>
    <row r="3" ht="30" customHeight="1">
      <c r="A3" s="46" t="inlineStr">
        <is>
          <t>•</t>
        </is>
      </c>
      <c r="B3" s="47" t="inlineStr">
        <is>
          <t>Единица стоимости</t>
        </is>
      </c>
      <c r="C3" s="48" t="inlineStr">
        <is>
          <t>Человеко-день. 1 неделя = 5 чел-дн. Размер команды в ADR-600 не задан — принят один исполнитель.</t>
        </is>
      </c>
    </row>
    <row r="4" ht="30" customHeight="1">
      <c r="A4" s="46" t="inlineStr">
        <is>
          <t>•</t>
        </is>
      </c>
      <c r="B4" s="47" t="inlineStr">
        <is>
          <t>Что сравнивается</t>
        </is>
      </c>
      <c r="C4" s="48" t="inlineStr">
        <is>
          <t>Колонки «Сейчас» — то, что работает на прототипе. MVP и тираж — целевые контуры (ADR-100, ADR-200, ADR-500). Строки, где на этапе ничего не меняется, помечены «Без изменений» и серым.</t>
        </is>
      </c>
    </row>
    <row r="5" ht="45" customHeight="1">
      <c r="A5" s="46" t="inlineStr">
        <is>
          <t>•</t>
        </is>
      </c>
      <c r="B5" s="47" t="inlineStr">
        <is>
          <t>Оценки, которые нужно подтвердить</t>
        </is>
      </c>
      <c r="C5" s="48" t="inlineStr">
        <is>
          <t>В ADR-600 трудозатраты даны по блокам работ, а не по контейнерам. Доли блоков по строкам распределены автором таблицы так, что сумма по блоку совпадает с оценкой ADR-600 (лист «Стоимость», сверка). Ниже — все ячейки, где цифра не взята прямо из ADR-600.</t>
        </is>
      </c>
    </row>
    <row r="6" ht="30" customHeight="1">
      <c r="A6" s="46" t="inlineStr">
        <is>
          <t>•</t>
        </is>
      </c>
      <c r="B6" s="47" t="inlineStr">
        <is>
          <t>Тираж: расхождение в ADR-600</t>
        </is>
      </c>
      <c r="C6" s="48" t="inlineStr">
        <is>
          <t>Сумма задач перехода к тиражу в ADR-600 — 17–26 чел-дн (3–5 + 5 + 2–3 + 5–10 + 2–3), сам документ округляет до «≈3,5–5 недель». В таблице — построчные значения.</t>
        </is>
      </c>
    </row>
    <row r="7" ht="105" customHeight="1">
      <c r="A7" s="46" t="inlineStr">
        <is>
          <t>•</t>
        </is>
      </c>
      <c r="B7" s="47" t="inlineStr">
        <is>
          <t>Нагрузка и деньги</t>
        </is>
      </c>
      <c r="C7" s="48" t="inlineStr">
        <is>
          <t>MVP — 8 000 абонентов; тираж — 90 000. Прогноз токенов и стоимости — минимум и максимум (лист «Прогноз стоимости», `Capacity_Report.html`): учтено, что не все абоненты приходят в чат (7–35%) и только 30–70% вопросов доходит до модели. Цена одна — публичный тариф YandexGPT Pro 0,8 ₽ за 1000 токенов из ADR-500 (не проверялся; тариф GigaChat Pro неизвестен). Цен на серверы и GPU нет. Допущения о спросе данными водоканала не подтверждены; токенов на запрос: измерено 401 (19 вызовов, фрагменты FAQ до 300 знаков), допущение максимума — 3 500. Пересчёт после получения данных — 3–5 чел-дн, по пилоту — 1–2 (блок P0 ADR-600).</t>
        </is>
      </c>
    </row>
    <row r="8" ht="135" customHeight="1">
      <c r="A8" s="46" t="inlineStr">
        <is>
          <t>•</t>
        </is>
      </c>
      <c r="B8" s="47" t="inlineStr">
        <is>
          <t>Замеры 24.09.2026 (повтор)</t>
        </is>
      </c>
      <c r="C8" s="48" t="inlineStr">
        <is>
          <t>Время запроса на CPU: e5-small 36–37 мс (первый замер 22 мс), BGE-M3 300 мс (первый замер 210 мс), реранкер на 20 кандидатах 7,2 с; бюджет поиска 100 мс. Синхронная проверка Guardrails: на ответе ≈800 знаков P95 ≈49 мс, на ≈2 000 знаков P95 ≈120 мс (бюджет 50 мс). YandexGPT, 19 вызовов: время до первого куска — медиана 0,78 с, P90 5,6 с; до конца ответа — медиана 2,6 с. Postgres, 2 млн строк телеметрии: 589 МБ, агрегаты 0,35–1,5 с. Qdrant, 100 000 векторов размерности 1 024: P99 65 мс без фильтра, 37 мс с фильтром. Backend, путь без модели: 117 запросов/с на процесс, 8,5 мс CPU на запрос. Память: обезличиватель 769 МиБ, эмбеддер e5-small +300 МиБ, контейнер Backend 1,32 ГиБ. Redis: ключ квоты ≈0,5 КБ, сессия ≈0,8 КБ на ход. Prometheus: 84 ряда на процесс. Выбранные допущения и расчёт узлов — лист «Sizing».</t>
        </is>
      </c>
    </row>
    <row r="9" ht="75" customHeight="1">
      <c r="A9" s="46" t="inlineStr">
        <is>
          <t>•</t>
        </is>
      </c>
      <c r="B9" s="47" t="inlineStr">
        <is>
          <t>Что не измерялось</t>
        </is>
      </c>
      <c r="C9" s="48" t="inlineStr">
        <is>
          <t>Скорость любых моделей на GPU. Качество BGE-M3 и других кандидатов на данных проекта. Выигрыш реранкера над текущим индексом (прежний замер — на корпусе из 20 фрагментов). Полнота обезличивания на живых данных. Длина запроса на базе из нескольких тысяч документов. Данные о спросе. Сравнения по документации (pgvector, Milvus, Feature Store, Airflow, Loki, Litestar и др.) замером не проверялись.</t>
        </is>
      </c>
    </row>
    <row r="10" ht="30" customHeight="1">
      <c r="A10" s="46" t="inlineStr">
        <is>
          <t>•</t>
        </is>
      </c>
      <c r="B10" s="47" t="inlineStr">
        <is>
          <t>Внешние зависимости</t>
        </is>
      </c>
      <c r="C10" s="48" t="inlineStr">
        <is>
          <t>Сроки внедрения зависят от сигнатур API владельцев (Биллинг, Диспетчерская, микросервис обращений), согласования ИБ, поставки оборудования. Эти ожидания в человеко-днях не учтены.</t>
        </is>
      </c>
    </row>
    <row r="12">
      <c r="B12" s="43" t="inlineStr">
        <is>
          <t>Ячейки с оценкой автора — подтвердить</t>
        </is>
      </c>
    </row>
    <row r="13">
      <c r="A13" s="5" t="inlineStr">
        <is>
          <t>№</t>
        </is>
      </c>
      <c r="B13" s="5" t="inlineStr">
        <is>
          <t>Контейнер / связь</t>
        </is>
      </c>
      <c r="C13" s="5" t="inlineStr">
        <is>
          <t>Контур</t>
        </is>
      </c>
      <c r="D13" s="5" t="inlineStr">
        <is>
          <t>Мин</t>
        </is>
      </c>
      <c r="E13" s="5" t="inlineStr">
        <is>
          <t>Макс</t>
        </is>
      </c>
      <c r="F13" s="5" t="inlineStr">
        <is>
          <t>Основа оценки</t>
        </is>
      </c>
    </row>
    <row r="14">
      <c r="A14" s="9">
        <f>'Матрица'!A3</f>
        <v/>
      </c>
      <c r="B14" s="9">
        <f>'Матрица'!C3</f>
        <v/>
      </c>
      <c r="C14" s="9" t="inlineStr">
        <is>
          <t>MVP</t>
        </is>
      </c>
      <c r="D14" s="34">
        <f>'Матрица'!M3</f>
        <v/>
      </c>
      <c r="E14" s="34">
        <f>'Матрица'!N3</f>
        <v/>
      </c>
      <c r="F14" s="13">
        <f>'Матрица'!O3</f>
        <v/>
      </c>
    </row>
    <row r="15">
      <c r="A15" s="9">
        <f>'Матрица'!A4</f>
        <v/>
      </c>
      <c r="B15" s="9">
        <f>'Матрица'!C4</f>
        <v/>
      </c>
      <c r="C15" s="9" t="inlineStr">
        <is>
          <t>MVP</t>
        </is>
      </c>
      <c r="D15" s="34">
        <f>'Матрица'!M4</f>
        <v/>
      </c>
      <c r="E15" s="34">
        <f>'Матрица'!N4</f>
        <v/>
      </c>
      <c r="F15" s="18">
        <f>'Матрица'!O4</f>
        <v/>
      </c>
    </row>
    <row r="16">
      <c r="A16" s="9">
        <f>'Матрица'!A5</f>
        <v/>
      </c>
      <c r="B16" s="9">
        <f>'Матрица'!C5</f>
        <v/>
      </c>
      <c r="C16" s="9" t="inlineStr">
        <is>
          <t>MVP</t>
        </is>
      </c>
      <c r="D16" s="34">
        <f>'Матрица'!M5</f>
        <v/>
      </c>
      <c r="E16" s="34">
        <f>'Матрица'!N5</f>
        <v/>
      </c>
      <c r="F16" s="18">
        <f>'Матрица'!O5</f>
        <v/>
      </c>
    </row>
    <row r="17">
      <c r="A17" s="9">
        <f>'Матрица'!A6</f>
        <v/>
      </c>
      <c r="B17" s="9">
        <f>'Матрица'!C6</f>
        <v/>
      </c>
      <c r="C17" s="9" t="inlineStr">
        <is>
          <t>MVP</t>
        </is>
      </c>
      <c r="D17" s="34">
        <f>'Матрица'!M6</f>
        <v/>
      </c>
      <c r="E17" s="34">
        <f>'Матрица'!N6</f>
        <v/>
      </c>
      <c r="F17" s="13">
        <f>'Матрица'!O6</f>
        <v/>
      </c>
    </row>
    <row r="18">
      <c r="A18" s="9">
        <f>'Матрица'!A7</f>
        <v/>
      </c>
      <c r="B18" s="9">
        <f>'Матрица'!C7</f>
        <v/>
      </c>
      <c r="C18" s="9" t="inlineStr">
        <is>
          <t>MVP</t>
        </is>
      </c>
      <c r="D18" s="34">
        <f>'Матрица'!M7</f>
        <v/>
      </c>
      <c r="E18" s="34">
        <f>'Матрица'!N7</f>
        <v/>
      </c>
      <c r="F18" s="18">
        <f>'Матрица'!O7</f>
        <v/>
      </c>
    </row>
    <row r="19">
      <c r="A19" s="9">
        <f>'Матрица'!A8</f>
        <v/>
      </c>
      <c r="B19" s="9">
        <f>'Матрица'!C8</f>
        <v/>
      </c>
      <c r="C19" s="9" t="inlineStr">
        <is>
          <t>MVP</t>
        </is>
      </c>
      <c r="D19" s="34">
        <f>'Матрица'!M8</f>
        <v/>
      </c>
      <c r="E19" s="34">
        <f>'Матрица'!N8</f>
        <v/>
      </c>
      <c r="F19" s="18">
        <f>'Матрица'!O8</f>
        <v/>
      </c>
    </row>
    <row r="20">
      <c r="A20" s="9">
        <f>'Матрица'!A9</f>
        <v/>
      </c>
      <c r="B20" s="9">
        <f>'Матрица'!C9</f>
        <v/>
      </c>
      <c r="C20" s="9" t="inlineStr">
        <is>
          <t>MVP</t>
        </is>
      </c>
      <c r="D20" s="34">
        <f>'Матрица'!M9</f>
        <v/>
      </c>
      <c r="E20" s="34">
        <f>'Матрица'!N9</f>
        <v/>
      </c>
      <c r="F20" s="13">
        <f>'Матрица'!O9</f>
        <v/>
      </c>
    </row>
    <row r="21">
      <c r="A21" s="9">
        <f>'Матрица'!A10</f>
        <v/>
      </c>
      <c r="B21" s="9">
        <f>'Матрица'!C10</f>
        <v/>
      </c>
      <c r="C21" s="9" t="inlineStr">
        <is>
          <t>MVP</t>
        </is>
      </c>
      <c r="D21" s="34">
        <f>'Матрица'!M10</f>
        <v/>
      </c>
      <c r="E21" s="34">
        <f>'Матрица'!N10</f>
        <v/>
      </c>
      <c r="F21" s="18">
        <f>'Матрица'!O10</f>
        <v/>
      </c>
    </row>
    <row r="22">
      <c r="A22" s="9">
        <f>'Матрица'!A11</f>
        <v/>
      </c>
      <c r="B22" s="9">
        <f>'Матрица'!C11</f>
        <v/>
      </c>
      <c r="C22" s="9" t="inlineStr">
        <is>
          <t>MVP</t>
        </is>
      </c>
      <c r="D22" s="34">
        <f>'Матрица'!M11</f>
        <v/>
      </c>
      <c r="E22" s="34">
        <f>'Матрица'!N11</f>
        <v/>
      </c>
      <c r="F22" s="18">
        <f>'Матрица'!O11</f>
        <v/>
      </c>
    </row>
    <row r="23">
      <c r="A23" s="9">
        <f>'Матрица'!A12</f>
        <v/>
      </c>
      <c r="B23" s="9">
        <f>'Матрица'!C12</f>
        <v/>
      </c>
      <c r="C23" s="9" t="inlineStr">
        <is>
          <t>MVP</t>
        </is>
      </c>
      <c r="D23" s="34">
        <f>'Матрица'!M12</f>
        <v/>
      </c>
      <c r="E23" s="34">
        <f>'Матрица'!N12</f>
        <v/>
      </c>
      <c r="F23" s="13">
        <f>'Матрица'!O12</f>
        <v/>
      </c>
    </row>
    <row r="24">
      <c r="A24" s="9">
        <f>'Матрица'!A13</f>
        <v/>
      </c>
      <c r="B24" s="9">
        <f>'Матрица'!C13</f>
        <v/>
      </c>
      <c r="C24" s="9" t="inlineStr">
        <is>
          <t>MVP</t>
        </is>
      </c>
      <c r="D24" s="34">
        <f>'Матрица'!M13</f>
        <v/>
      </c>
      <c r="E24" s="34">
        <f>'Матрица'!N13</f>
        <v/>
      </c>
      <c r="F24" s="13">
        <f>'Матрица'!O13</f>
        <v/>
      </c>
    </row>
    <row r="25">
      <c r="A25" s="9">
        <f>'Матрица'!A14</f>
        <v/>
      </c>
      <c r="B25" s="9">
        <f>'Матрица'!C14</f>
        <v/>
      </c>
      <c r="C25" s="9" t="inlineStr">
        <is>
          <t>MVP</t>
        </is>
      </c>
      <c r="D25" s="34">
        <f>'Матрица'!M14</f>
        <v/>
      </c>
      <c r="E25" s="34">
        <f>'Матрица'!N14</f>
        <v/>
      </c>
      <c r="F25" s="13">
        <f>'Матрица'!O14</f>
        <v/>
      </c>
    </row>
    <row r="26">
      <c r="A26" s="9">
        <f>'Матрица'!A15</f>
        <v/>
      </c>
      <c r="B26" s="9">
        <f>'Матрица'!C15</f>
        <v/>
      </c>
      <c r="C26" s="9" t="inlineStr">
        <is>
          <t>MVP</t>
        </is>
      </c>
      <c r="D26" s="34">
        <f>'Матрица'!M15</f>
        <v/>
      </c>
      <c r="E26" s="34">
        <f>'Матрица'!N15</f>
        <v/>
      </c>
      <c r="F26" s="13">
        <f>'Матрица'!O15</f>
        <v/>
      </c>
    </row>
    <row r="27">
      <c r="A27" s="9">
        <f>'Матрица'!A15</f>
        <v/>
      </c>
      <c r="B27" s="9">
        <f>'Матрица'!C15</f>
        <v/>
      </c>
      <c r="C27" s="9" t="inlineStr">
        <is>
          <t>Тираж</t>
        </is>
      </c>
      <c r="D27" s="34">
        <f>'Матрица'!S15</f>
        <v/>
      </c>
      <c r="E27" s="34">
        <f>'Матрица'!T15</f>
        <v/>
      </c>
      <c r="F27" s="13">
        <f>'Матрица'!U15</f>
        <v/>
      </c>
    </row>
    <row r="28">
      <c r="A28" s="9">
        <f>'Матрица'!A16</f>
        <v/>
      </c>
      <c r="B28" s="9">
        <f>'Матрица'!C16</f>
        <v/>
      </c>
      <c r="C28" s="9" t="inlineStr">
        <is>
          <t>MVP</t>
        </is>
      </c>
      <c r="D28" s="34">
        <f>'Матрица'!M16</f>
        <v/>
      </c>
      <c r="E28" s="34">
        <f>'Матрица'!N16</f>
        <v/>
      </c>
      <c r="F28" s="13">
        <f>'Матрица'!O16</f>
        <v/>
      </c>
    </row>
    <row r="29">
      <c r="A29" s="9">
        <f>'Матрица'!A16</f>
        <v/>
      </c>
      <c r="B29" s="9">
        <f>'Матрица'!C16</f>
        <v/>
      </c>
      <c r="C29" s="9" t="inlineStr">
        <is>
          <t>Тираж</t>
        </is>
      </c>
      <c r="D29" s="34">
        <f>'Матрица'!S16</f>
        <v/>
      </c>
      <c r="E29" s="34">
        <f>'Матрица'!T16</f>
        <v/>
      </c>
      <c r="F29" s="13">
        <f>'Матрица'!U16</f>
        <v/>
      </c>
    </row>
    <row r="30">
      <c r="A30" s="9">
        <f>'Матрица'!A17</f>
        <v/>
      </c>
      <c r="B30" s="9">
        <f>'Матрица'!C17</f>
        <v/>
      </c>
      <c r="C30" s="9" t="inlineStr">
        <is>
          <t>MVP</t>
        </is>
      </c>
      <c r="D30" s="34">
        <f>'Матрица'!M17</f>
        <v/>
      </c>
      <c r="E30" s="34">
        <f>'Матрица'!N17</f>
        <v/>
      </c>
      <c r="F30" s="18">
        <f>'Матрица'!O17</f>
        <v/>
      </c>
    </row>
    <row r="31">
      <c r="A31" s="9">
        <f>'Матрица'!A18</f>
        <v/>
      </c>
      <c r="B31" s="9">
        <f>'Матрица'!C18</f>
        <v/>
      </c>
      <c r="C31" s="9" t="inlineStr">
        <is>
          <t>MVP</t>
        </is>
      </c>
      <c r="D31" s="34">
        <f>'Матрица'!M18</f>
        <v/>
      </c>
      <c r="E31" s="34">
        <f>'Матрица'!N18</f>
        <v/>
      </c>
      <c r="F31" s="18">
        <f>'Матрица'!O18</f>
        <v/>
      </c>
    </row>
    <row r="32">
      <c r="A32" s="9">
        <f>'Матрица'!A19</f>
        <v/>
      </c>
      <c r="B32" s="9">
        <f>'Матрица'!C19</f>
        <v/>
      </c>
      <c r="C32" s="9" t="inlineStr">
        <is>
          <t>MVP</t>
        </is>
      </c>
      <c r="D32" s="34">
        <f>'Матрица'!M19</f>
        <v/>
      </c>
      <c r="E32" s="34">
        <f>'Матрица'!N19</f>
        <v/>
      </c>
      <c r="F32" s="18">
        <f>'Матрица'!O19</f>
        <v/>
      </c>
    </row>
    <row r="33">
      <c r="A33" s="9">
        <f>'Матрица'!A20</f>
        <v/>
      </c>
      <c r="B33" s="9">
        <f>'Матрица'!C20</f>
        <v/>
      </c>
      <c r="C33" s="9" t="inlineStr">
        <is>
          <t>MVP</t>
        </is>
      </c>
      <c r="D33" s="34">
        <f>'Матрица'!M20</f>
        <v/>
      </c>
      <c r="E33" s="34">
        <f>'Матрица'!N20</f>
        <v/>
      </c>
      <c r="F33" s="18">
        <f>'Матрица'!O20</f>
        <v/>
      </c>
    </row>
    <row r="34">
      <c r="A34" s="9">
        <f>'Матрица'!A21</f>
        <v/>
      </c>
      <c r="B34" s="9">
        <f>'Матрица'!C21</f>
        <v/>
      </c>
      <c r="C34" s="9" t="inlineStr">
        <is>
          <t>MVP</t>
        </is>
      </c>
      <c r="D34" s="34">
        <f>'Матрица'!M21</f>
        <v/>
      </c>
      <c r="E34" s="34">
        <f>'Матрица'!N21</f>
        <v/>
      </c>
      <c r="F34" s="13">
        <f>'Матрица'!O21</f>
        <v/>
      </c>
    </row>
    <row r="35">
      <c r="A35" s="9">
        <f>'Матрица'!A22</f>
        <v/>
      </c>
      <c r="B35" s="9">
        <f>'Матрица'!C22</f>
        <v/>
      </c>
      <c r="C35" s="9" t="inlineStr">
        <is>
          <t>MVP</t>
        </is>
      </c>
      <c r="D35" s="34">
        <f>'Матрица'!M22</f>
        <v/>
      </c>
      <c r="E35" s="34">
        <f>'Матрица'!N22</f>
        <v/>
      </c>
      <c r="F35" s="13">
        <f>'Матрица'!O22</f>
        <v/>
      </c>
    </row>
    <row r="36">
      <c r="A36" s="9">
        <f>'Матрица'!A23</f>
        <v/>
      </c>
      <c r="B36" s="9">
        <f>'Матрица'!C23</f>
        <v/>
      </c>
      <c r="C36" s="9" t="inlineStr">
        <is>
          <t>MVP</t>
        </is>
      </c>
      <c r="D36" s="34">
        <f>'Матрица'!M23</f>
        <v/>
      </c>
      <c r="E36" s="34">
        <f>'Матрица'!N23</f>
        <v/>
      </c>
      <c r="F36" s="13">
        <f>'Матрица'!O23</f>
        <v/>
      </c>
    </row>
    <row r="37">
      <c r="A37" s="9">
        <f>'Матрица'!A25</f>
        <v/>
      </c>
      <c r="B37" s="9">
        <f>'Матрица'!C25</f>
        <v/>
      </c>
      <c r="C37" s="9" t="inlineStr">
        <is>
          <t>MVP</t>
        </is>
      </c>
      <c r="D37" s="34">
        <f>'Матрица'!M25</f>
        <v/>
      </c>
      <c r="E37" s="34">
        <f>'Матрица'!N25</f>
        <v/>
      </c>
      <c r="F37" s="18">
        <f>'Матрица'!O25</f>
        <v/>
      </c>
    </row>
    <row r="38">
      <c r="A38" s="9">
        <f>'Матрица'!A32</f>
        <v/>
      </c>
      <c r="B38" s="9">
        <f>'Матрица'!C32</f>
        <v/>
      </c>
      <c r="C38" s="9" t="inlineStr">
        <is>
          <t>MVP</t>
        </is>
      </c>
      <c r="D38" s="34">
        <f>'Матрица'!M32</f>
        <v/>
      </c>
      <c r="E38" s="34">
        <f>'Матрица'!N32</f>
        <v/>
      </c>
      <c r="F38" s="18">
        <f>'Матрица'!O32</f>
        <v/>
      </c>
    </row>
    <row r="39">
      <c r="A39" s="9">
        <f>'Матрица'!A33</f>
        <v/>
      </c>
      <c r="B39" s="9">
        <f>'Матрица'!C33</f>
        <v/>
      </c>
      <c r="C39" s="9" t="inlineStr">
        <is>
          <t>MVP</t>
        </is>
      </c>
      <c r="D39" s="34">
        <f>'Матрица'!M33</f>
        <v/>
      </c>
      <c r="E39" s="34">
        <f>'Матрица'!N33</f>
        <v/>
      </c>
      <c r="F39" s="18">
        <f>'Матрица'!O33</f>
        <v/>
      </c>
    </row>
    <row r="40">
      <c r="A40" s="9">
        <f>'Матрица'!A34</f>
        <v/>
      </c>
      <c r="B40" s="9">
        <f>'Матрица'!C34</f>
        <v/>
      </c>
      <c r="C40" s="9" t="inlineStr">
        <is>
          <t>MVP</t>
        </is>
      </c>
      <c r="D40" s="34">
        <f>'Матрица'!M34</f>
        <v/>
      </c>
      <c r="E40" s="34">
        <f>'Матрица'!N34</f>
        <v/>
      </c>
      <c r="F40" s="18">
        <f>'Матрица'!O34</f>
        <v/>
      </c>
    </row>
    <row r="41">
      <c r="A41" s="9">
        <f>'Матрица'!A36</f>
        <v/>
      </c>
      <c r="B41" s="9">
        <f>'Матрица'!C36</f>
        <v/>
      </c>
      <c r="C41" s="9" t="inlineStr">
        <is>
          <t>MVP</t>
        </is>
      </c>
      <c r="D41" s="34">
        <f>'Матрица'!M36</f>
        <v/>
      </c>
      <c r="E41" s="34">
        <f>'Матрица'!N36</f>
        <v/>
      </c>
      <c r="F41" s="18">
        <f>'Матрица'!O36</f>
        <v/>
      </c>
    </row>
    <row r="42">
      <c r="A42" s="9">
        <f>'Матрица'!A37</f>
        <v/>
      </c>
      <c r="B42" s="9">
        <f>'Матрица'!C37</f>
        <v/>
      </c>
      <c r="C42" s="9" t="inlineStr">
        <is>
          <t>MVP</t>
        </is>
      </c>
      <c r="D42" s="34">
        <f>'Матрица'!M37</f>
        <v/>
      </c>
      <c r="E42" s="34">
        <f>'Матрица'!N37</f>
        <v/>
      </c>
      <c r="F42" s="18">
        <f>'Матрица'!O37</f>
        <v/>
      </c>
    </row>
    <row r="44">
      <c r="B44" s="43" t="inlineStr">
        <is>
          <t>Документы-источники</t>
        </is>
      </c>
    </row>
    <row r="45">
      <c r="B45" s="11" t="inlineStr">
        <is>
          <t>ADR-100</t>
        </is>
      </c>
      <c r="C45" s="9" t="inlineStr">
        <is>
          <t>Что сдано и что отложено; таблица «целевой компонент — замена на прототипе»</t>
        </is>
      </c>
    </row>
    <row r="46">
      <c r="B46" s="11" t="inlineStr">
        <is>
          <t>ADR-200</t>
        </is>
      </c>
      <c r="C46" s="9" t="inlineStr">
        <is>
          <t>Стек по слоям, альтернативы, сравнение Python/Go/Node.js</t>
        </is>
      </c>
    </row>
    <row r="47">
      <c r="B47" s="11" t="inlineStr">
        <is>
          <t>ADR-300</t>
        </is>
      </c>
      <c r="C47" s="9" t="inlineStr">
        <is>
          <t>Модели: классификация, эмбеддинги, реранкер, генерация, судья</t>
        </is>
      </c>
    </row>
    <row r="48">
      <c r="B48" s="11" t="inlineStr">
        <is>
          <t>ADR-400</t>
        </is>
      </c>
      <c r="C48" s="9" t="inlineStr">
        <is>
          <t>Безопасность по контурам, открытые пункты</t>
        </is>
      </c>
    </row>
    <row r="49">
      <c r="B49" s="11" t="inlineStr">
        <is>
          <t>ADR-500</t>
        </is>
      </c>
      <c r="C49" s="9" t="inlineStr">
        <is>
          <t>Ресурсы и стоимость: прототип, MVP, тираж</t>
        </is>
      </c>
    </row>
    <row r="50">
      <c r="B50" s="11" t="inlineStr">
        <is>
          <t>ADR-600</t>
        </is>
      </c>
      <c r="C50" s="9" t="inlineStr">
        <is>
          <t>План развития и укрупнённые оценки трудозатрат</t>
        </is>
      </c>
    </row>
    <row r="51">
      <c r="B51" s="11" t="inlineStr">
        <is>
          <t>C4_Deployment, C3/*</t>
        </is>
      </c>
      <c r="C51" s="9" t="inlineStr">
        <is>
          <t>Целевая схема развёртывания и компоненты</t>
        </is>
      </c>
    </row>
    <row r="52">
      <c r="B52" s="11" t="inlineStr">
        <is>
          <t>Код и docker-compose.yml</t>
        </is>
      </c>
      <c r="C52" s="9" t="inlineStr">
        <is>
          <t>Проверка колонки «Сейчас»</t>
        </is>
      </c>
    </row>
  </sheetData>
  <mergeCells count="16">
    <mergeCell ref="C52:F52"/>
    <mergeCell ref="C9:F9"/>
    <mergeCell ref="C47:F47"/>
    <mergeCell ref="C45:F45"/>
    <mergeCell ref="C3:F3"/>
    <mergeCell ref="C48:F48"/>
    <mergeCell ref="C8:F8"/>
    <mergeCell ref="C49:F49"/>
    <mergeCell ref="C4:F4"/>
    <mergeCell ref="C6:F6"/>
    <mergeCell ref="C7:F7"/>
    <mergeCell ref="C46:F46"/>
    <mergeCell ref="C51:F51"/>
    <mergeCell ref="C10:F10"/>
    <mergeCell ref="C5:F5"/>
    <mergeCell ref="C50:F50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F22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30" customWidth="1" min="3" max="3"/>
    <col width="78" customWidth="1" min="4" max="4"/>
    <col width="26" customWidth="1" min="5" max="5"/>
    <col width="30" customWidth="1" min="6" max="6"/>
  </cols>
  <sheetData>
    <row r="1">
      <c r="A1" s="32" t="inlineStr">
        <is>
          <t>Объём и нагрузка по контейнерам</t>
        </is>
      </c>
    </row>
    <row r="2" ht="48" customHeight="1">
      <c r="A2" s="49" t="inlineStr">
        <is>
          <t>Нагрузка из модели `Capacity_Report.html` (лист «Прогноз стоимости», допущения спроса данными водоканала не подтверждены): MVP (8 000 абонентов) — 1 680–42 000 вопросов в месяц, пик 0,002–0,058 запроса/с, одновременно 0,007–0,17; тираж (90 000) — 18 900–472 500 вопросов, пик 0,026–0,656 запроса/с, одновременно 0,08–1,97 (минимум–максимум). Сценарии рассчитаны под 10 и 100 тысяч абонентов; в ADR-500 те же контуры — 8 000 и 90 000.</t>
        </is>
      </c>
    </row>
    <row r="4">
      <c r="A4" s="5" t="inlineStr">
        <is>
          <t>№</t>
        </is>
      </c>
      <c r="B4" s="5" t="inlineStr">
        <is>
          <t>Контейнер</t>
        </is>
      </c>
      <c r="C4" s="5" t="inlineStr">
        <is>
          <t>Что определяет объём</t>
        </is>
      </c>
      <c r="D4" s="5" t="inlineStr">
        <is>
          <t>Что заложено</t>
        </is>
      </c>
      <c r="E4" s="5" t="inlineStr">
        <is>
          <t>Статус</t>
        </is>
      </c>
      <c r="F4" s="5" t="inlineStr">
        <is>
          <t>Источник</t>
        </is>
      </c>
    </row>
    <row r="5" ht="45" customHeight="1">
      <c r="A5" s="50" t="n">
        <v>1</v>
      </c>
      <c r="B5" s="11" t="inlineStr">
        <is>
          <t>AI-виджет</t>
        </is>
      </c>
      <c r="C5" s="9" t="inlineStr">
        <is>
          <t>Число одновременных пользователей</t>
        </is>
      </c>
      <c r="D5" s="9" t="inlineStr">
        <is>
          <t>Отдельного объёма нет: статические файлы, нагрузка — общая (см. Backend). Одновременно до 0,17 запроса на MVP и до 2 на тираже (максимум прогноза).</t>
        </is>
      </c>
      <c r="E5" s="9" t="inlineStr">
        <is>
          <t>Расчёт по допущениям</t>
        </is>
      </c>
      <c r="F5" s="9" t="inlineStr">
        <is>
          <t>Capacity_Report, раздел 4</t>
        </is>
      </c>
    </row>
    <row r="6" ht="60" customHeight="1">
      <c r="A6" s="50" t="n">
        <v>2</v>
      </c>
      <c r="B6" s="11" t="inlineStr">
        <is>
          <t>Backend</t>
        </is>
      </c>
      <c r="C6" s="9" t="inlineStr">
        <is>
          <t>Число запросов в секунду</t>
        </is>
      </c>
      <c r="D6" s="9" t="inlineStr">
        <is>
          <t>Общая нагрузка (см. выше). Замер: путь без модели — 117 запросов/с на один процесс (8,5 мс CPU на запрос), при 4 параллельных запросах медиана 36 мс. Выбрано: 2 реплики на MVP и 3 на тираже по 0,5 и 1 vCPU, ОЗУ 0,5 и 1 ГиБ (лист «Sizing»).</t>
        </is>
      </c>
      <c r="E6" s="9" t="inlineStr">
        <is>
          <t>Замер пропускной способности; реплики выбраны</t>
        </is>
      </c>
      <c r="F6" s="9" t="inlineStr">
        <is>
          <t>Capacity_Report, раздел 7; ADR-600 (нагрузочные тесты в плане)</t>
        </is>
      </c>
    </row>
    <row r="7" ht="45" customHeight="1">
      <c r="A7" s="50" t="n">
        <v>3</v>
      </c>
      <c r="B7" s="11" t="inlineStr">
        <is>
          <t>Классификатор обращений (Triage)</t>
        </is>
      </c>
      <c r="C7" s="9" t="inlineStr">
        <is>
          <t>Число вопросов; размер набора примеров k-NN</t>
        </is>
      </c>
      <c r="D7" s="9" t="inlineStr">
        <is>
          <t>Один проход на вопрос (22–37 мс на CPU, замер). Набор примеров сейчас — 136 обращений; для MVP требуется не менее 100 на тип (около 1 500–2 000 текстов).</t>
        </is>
      </c>
      <c r="E7" s="9" t="inlineStr">
        <is>
          <t>Замер задержки; объём набора — план</t>
        </is>
      </c>
      <c r="F7" s="9" t="inlineStr">
        <is>
          <t>ADR-300; ADR-600</t>
        </is>
      </c>
    </row>
    <row r="8" ht="45" customHeight="1">
      <c r="A8" s="50" t="n">
        <v>4</v>
      </c>
      <c r="B8" s="11" t="inlineStr">
        <is>
          <t>LLM Gateway</t>
        </is>
      </c>
      <c r="C8" s="9" t="inlineStr">
        <is>
          <t>Число вопросов и лимиты</t>
        </is>
      </c>
      <c r="D8" s="9" t="inlineStr">
        <is>
          <t>Общая нагрузка. Лимиты по умолчанию в `app/config.py`: 20 запросов в минуту на абонента, 10 на сессию, 300 на сервис (5 запросов/с); расчётом не обоснованы. Сессия живёт 30 минут.</t>
        </is>
      </c>
      <c r="E8" s="9" t="inlineStr">
        <is>
          <t>Настройки прототипа</t>
        </is>
      </c>
      <c r="F8" s="9" t="inlineStr">
        <is>
          <t>app/config.py</t>
        </is>
      </c>
    </row>
    <row r="9" ht="60" customHeight="1">
      <c r="A9" s="50" t="n">
        <v>5</v>
      </c>
      <c r="B9" s="11" t="inlineStr">
        <is>
          <t>PII Filter</t>
        </is>
      </c>
      <c r="C9" s="9" t="inlineStr">
        <is>
          <t>Число вопросов и ответов</t>
        </is>
      </c>
      <c r="D9" s="9" t="inlineStr">
        <is>
          <t>Один проход на вопрос и один на ответ. Время проверки ответа ≈800 знаков — 30–45 мс (замер), на ≈2 000 знаков — 60–70 мс. Память обезличивателя (Presidio + spaCy) — 769 МиБ (замер). Работает внутри шлюза, отдельного пода нет.</t>
        </is>
      </c>
      <c r="E9" s="9" t="inlineStr">
        <is>
          <t>Замер</t>
        </is>
      </c>
      <c r="F9" s="9" t="inlineStr">
        <is>
          <t>ADR-400</t>
        </is>
      </c>
    </row>
    <row r="10" ht="60" customHeight="1">
      <c r="A10" s="50" t="n">
        <v>6</v>
      </c>
      <c r="B10" s="11" t="inlineStr">
        <is>
          <t>Guardrails и судья качества</t>
        </is>
      </c>
      <c r="C10" s="9" t="inlineStr">
        <is>
          <t>Число ответов; оценка судьёй</t>
        </is>
      </c>
      <c r="D10" s="9" t="inlineStr">
        <is>
          <t>Судья: 1,3–23,7 млн токенов в месяц на MVP и 1,9–174 млн на тираже (эталонный набор из 30 вопросов раз в неделю или каждую ночь плюс 1–5% выборка трафика); допущение: 5 вызовов судьи по ≈2 000 токенов на образец, не измерено.</t>
        </is>
      </c>
      <c r="E10" s="9" t="inlineStr">
        <is>
          <t>Расчёт по допущениям</t>
        </is>
      </c>
      <c r="F10" s="9" t="inlineStr">
        <is>
          <t>Capacity_Report, лист «Прогноз стоимости»</t>
        </is>
      </c>
    </row>
    <row r="11" ht="75" customHeight="1">
      <c r="A11" s="50" t="n">
        <v>7</v>
      </c>
      <c r="B11" s="11" t="inlineStr">
        <is>
          <t>LLM Provider</t>
        </is>
      </c>
      <c r="C11" s="9" t="inlineStr">
        <is>
          <t>Токены генерации</t>
        </is>
      </c>
      <c r="D11" s="9" t="inlineStr">
        <is>
          <t>Токенов на запрос: измерено 401 (19 вызовов, фрагменты FAQ до 300 знаков), допущение максимума — 3 500. Стоимость токенов (генерация и судья) — 1 234–101 280 ₽ в месяц на MVP и 3 305 ₽–1,07 млн ₽ на тираже (минимум–максимум); до модели доходит 30–70% вопросов. Агент Этапа 2 добавит до 44 800 ₽ (MVP) и 504 000 ₽ (тираж) в месяц в максимуме.</t>
        </is>
      </c>
      <c r="E11" s="9" t="inlineStr">
        <is>
          <t>Замер (401) и допущение (3 500)</t>
        </is>
      </c>
      <c r="F11" s="9" t="inlineStr">
        <is>
          <t>ADR-500; Capacity_Report</t>
        </is>
      </c>
    </row>
    <row r="12" ht="30" customHeight="1">
      <c r="A12" s="50" t="n">
        <v>8</v>
      </c>
      <c r="B12" s="11" t="inlineStr">
        <is>
          <t>Эмбеддинги (модель поиска)</t>
        </is>
      </c>
      <c r="C12" s="9" t="inlineStr">
        <is>
          <t>Вопросы; индексация базы знаний</t>
        </is>
      </c>
      <c r="D12" s="9" t="inlineStr">
        <is>
          <t>Один запрос на вопрос; при индексации 30 000–100 000 частей. Скорость на CPU измерена, на GPU — нет.</t>
        </is>
      </c>
      <c r="E12" s="9" t="inlineStr">
        <is>
          <t>Замер на CPU; GPU не измерялся</t>
        </is>
      </c>
      <c r="F12" s="9" t="inlineStr">
        <is>
          <t>ADR-200; ADR-300</t>
        </is>
      </c>
    </row>
    <row r="13" ht="45" customHeight="1">
      <c r="A13" s="50" t="n">
        <v>9</v>
      </c>
      <c r="B13" s="11" t="inlineStr">
        <is>
          <t>Реранкер</t>
        </is>
      </c>
      <c r="C13" s="9" t="inlineStr">
        <is>
          <t>Вопросы × 20 кандидатов</t>
        </is>
      </c>
      <c r="D13" s="9" t="inlineStr">
        <is>
          <t>Одно переранжирование 20 кандидатов на вопрос (до 0,058 вопроса/с на MVP и 0,656 на тираже). На CPU 7,2 с (замер); загрузка GPU не оценивается: скорость на GPU не измерялась.</t>
        </is>
      </c>
      <c r="E13" s="9" t="inlineStr">
        <is>
          <t>Замер на CPU; GPU не измерялся</t>
        </is>
      </c>
      <c r="F13" s="9" t="inlineStr">
        <is>
          <t>ADR-300; Capacity_Report</t>
        </is>
      </c>
    </row>
    <row r="14" ht="45" customHeight="1">
      <c r="A14" s="50" t="n">
        <v>10</v>
      </c>
      <c r="B14" s="11" t="inlineStr">
        <is>
          <t>Векторная база (Qdrant)</t>
        </is>
      </c>
      <c r="C14" s="9" t="inlineStr">
        <is>
          <t>Размер базы знаний</t>
        </is>
      </c>
      <c r="D14" s="9" t="inlineStr">
        <is>
          <t>Несколько тысяч документов (3 000–5 000), 30 000–100 000 векторов размерности 1 024, ≈0,3–1,0 ГБ. От числа абонентов не зависит. Поиск на 100 000 векторов: P99 65 мс без фильтра, 37 мс с фильтром (замер).</t>
        </is>
      </c>
      <c r="E14" s="9" t="inlineStr">
        <is>
          <t>Допущение объёма; замер поиска</t>
        </is>
      </c>
      <c r="F14" s="9" t="inlineStr">
        <is>
          <t>ADR-200</t>
        </is>
      </c>
    </row>
    <row r="15" ht="60" customHeight="1">
      <c r="A15" s="50" t="n">
        <v>11</v>
      </c>
      <c r="B15" s="11" t="inlineStr">
        <is>
          <t>Кэш профиля абонента (Postgres)</t>
        </is>
      </c>
      <c r="C15" s="9" t="inlineStr">
        <is>
          <t>Число абонентов и начислений</t>
        </is>
      </c>
      <c r="D15" s="9" t="inlineStr">
        <is>
          <t>8 000 профилей на MVP, 90 000 на тираже. Строка профиля с начислениями — 3 КБ (допущение): ≈24 МБ на MVP, ≈270 МБ на тираже. По примеру прототипа (200 счетов, 1 323 начисления) ≈6,6 начисления на счёт. Хранится в Postgres (см. ниже).</t>
        </is>
      </c>
      <c r="E15" s="9" t="inlineStr">
        <is>
          <t>Допущение; выбрано и посчитано</t>
        </is>
      </c>
      <c r="F15" s="9" t="inlineStr">
        <is>
          <t>ADR-200; data_example</t>
        </is>
      </c>
    </row>
    <row r="16" ht="45" customHeight="1">
      <c r="A16" s="50" t="n">
        <v>12</v>
      </c>
      <c r="B16" s="11" t="inlineStr">
        <is>
          <t>Redis (квоты, состояние диалога)</t>
        </is>
      </c>
      <c r="C16" s="9" t="inlineStr">
        <is>
          <t>Одновременные сессии и счётчики</t>
        </is>
      </c>
      <c r="D16" s="9" t="inlineStr">
        <is>
          <t>Замер: ключ квоты ≈0,5 КБ, сессия ≈0,8 КБ на ход, срок жизни 30 минут; до 1 200 одновременных сессий ≈4 МБ. Выбрано: 1 экземпляр на MVP, 2 на тираже, 0,25 ГиБ (лист «Sizing»).</t>
        </is>
      </c>
      <c r="E16" s="9" t="inlineStr">
        <is>
          <t>Замер; экземпляры выбраны</t>
        </is>
      </c>
      <c r="F16" s="9" t="inlineStr">
        <is>
          <t>app/config.py; Capacity_Report</t>
        </is>
      </c>
    </row>
    <row r="17" ht="120" customHeight="1">
      <c r="A17" s="50" t="n">
        <v>13</v>
      </c>
      <c r="B17" s="11" t="inlineStr">
        <is>
          <t>Postgres (обращения, слепки, события, телеметрия)</t>
        </is>
      </c>
      <c r="C17" s="9" t="inlineStr">
        <is>
          <t>Диалоги, обращения, события</t>
        </is>
      </c>
      <c r="D17" s="9" t="inlineStr">
        <is>
          <t>События использования: 6 048–352 800 строк в год на MVP и 68 040–3,97 млн на тираже (≈2–109 МБ и 21 МБ–1,2 ГБ в год; замер 2 млн строк — 589 МБ). Журнал диалогов при сроке хранения 90 суток (выбрано) — до 0,08 ГБ на MVP и 0,94 ГБ на тираже (4 КБ на диалог, максимум прогноза). Подробные события хранятся 12 месяцев (замер: 12 млн строк дают агрегат по всей таблице 39 с). Итого до 0,4 ГБ на MVP и до 4 ГБ на тираже, том 20 и 50 ГиБ (лист «Sizing»). Число обращений в месяц принято равным диалогам с записью.</t>
        </is>
      </c>
      <c r="E17" s="9" t="inlineStr">
        <is>
          <t>Расчёт и замер; срок хранения выбран</t>
        </is>
      </c>
      <c r="F17" s="9" t="inlineStr">
        <is>
          <t>ADR-200; Sizing</t>
        </is>
      </c>
    </row>
    <row r="18" ht="30" customHeight="1">
      <c r="A18" s="50" t="n">
        <v>14</v>
      </c>
      <c r="B18" s="11" t="inlineStr">
        <is>
          <t>Индексация базы знаний (ETL)</t>
        </is>
      </c>
      <c r="C18" s="9" t="inlineStr">
        <is>
          <t>Число частей и окно 02:00–05:00</t>
        </is>
      </c>
      <c r="D18" s="9" t="inlineStr">
        <is>
          <t>30 000–100 000 частей. На CPU e5-small ≈14–46 мин, BGE-M3 ≈2,7–9,6 ч; на GPU не измерялось.</t>
        </is>
      </c>
      <c r="E18" s="9" t="inlineStr">
        <is>
          <t>Расчёт по замеру на CPU</t>
        </is>
      </c>
      <c r="F18" s="9" t="inlineStr">
        <is>
          <t>ADR-200</t>
        </is>
      </c>
    </row>
    <row r="19" ht="75" customHeight="1">
      <c r="A19" s="50" t="n">
        <v>15</v>
      </c>
      <c r="B19" s="11" t="inlineStr">
        <is>
          <t>Агент записи, Billing Adapter, Сервис обращений, Document Generator (Этап 2)</t>
        </is>
      </c>
      <c r="C19" s="9" t="inlineStr">
        <is>
          <t>Доля диалогов с записью</t>
        </is>
      </c>
      <c r="D19" s="9" t="inlineStr">
        <is>
          <t>Допущение A6: 15–40% диалогов ведут к записи — до 2 800 диалогов в месяц на MVP и 31 500 на тираже; надбавка токенов до ≈56 и ≈630 млн в месяц. Хранилище готовых документов (MinIO): ≈200 КБ на бланк (допущение) — до 6,7 ГБ в год на MVP и 76 ГБ в год на тираже; том MinIO 100 и 400 ГиБ с копиями и документами базы знаний (лист «Sizing»).</t>
        </is>
      </c>
      <c r="E19" s="9" t="inlineStr">
        <is>
          <t>Допущение; выбрано и посчитано</t>
        </is>
      </c>
      <c r="F19" s="9" t="inlineStr">
        <is>
          <t>Capacity_Report, раздел 8.5</t>
        </is>
      </c>
    </row>
    <row r="20" ht="75" customHeight="1">
      <c r="A20" s="50" t="n">
        <v>16</v>
      </c>
      <c r="B20" s="11" t="inlineStr">
        <is>
          <t>Оркестрация (Kubernetes), узлы</t>
        </is>
      </c>
      <c r="C20" s="9" t="inlineStr">
        <is>
          <t>Число и размер узлов</t>
        </is>
      </c>
      <c r="D20" s="9" t="inlineStr">
        <is>
          <t>Расчёт по выбранным допущениям (лист «Sizing»): MVP — 6 узлов (3 общих 8 vCPU/16 ГиБ, 2 данных 8 vCPU/32 ГиБ, 1 GPU-узел с видеокартой 24 ГБ), тираж — 8 (4 общих, 2 данных, 1 GPU, 1 узел под собственную модель с A100 80 ГБ). Диск под тома ≈176 ГиБ на MVP и ≈667 ГиБ на тираже. Стоимость серверов не оценена.</t>
        </is>
      </c>
      <c r="E20" s="9" t="inlineStr">
        <is>
          <t>Расчёт по допущениям</t>
        </is>
      </c>
      <c r="F20" s="9" t="inlineStr">
        <is>
          <t>Sizing; C4_Deployment</t>
        </is>
      </c>
    </row>
    <row r="21" ht="60" customHeight="1">
      <c r="A21" s="50" t="n">
        <v>17</v>
      </c>
      <c r="B21" s="11" t="inlineStr">
        <is>
          <t>Наблюдаемость</t>
        </is>
      </c>
      <c r="C21" s="9" t="inlineStr">
        <is>
          <t>Метрики и логи</t>
        </is>
      </c>
      <c r="D21" s="9" t="inlineStr">
        <is>
          <t>Loki: 0,02–0,42 ГБ за 30 суток на MVP и 0,19–4,7 ГБ на тираже (допущение: 10 записей на вопрос по ≈1 КБ). Prometheus: 84 ряда на процесс приложения (замер), до 20 000 рядов с метриками кластера (допущение), хранение 15 суток ≈2,6 ГБ; том 10 ГиБ (лист «Sizing»).</t>
        </is>
      </c>
      <c r="E21" s="9" t="inlineStr">
        <is>
          <t>Допущение и замер</t>
        </is>
      </c>
      <c r="F21" s="9" t="inlineStr">
        <is>
          <t>Capacity_Report, раздел 6</t>
        </is>
      </c>
    </row>
    <row r="22" ht="30" customHeight="1">
      <c r="A22" s="50" t="n">
        <v>18</v>
      </c>
      <c r="B22" s="11" t="inlineStr">
        <is>
          <t>Секреты (Vault)</t>
        </is>
      </c>
      <c r="C22" s="9" t="inlineStr">
        <is>
          <t>—</t>
        </is>
      </c>
      <c r="D22" s="9" t="inlineStr">
        <is>
          <t>Объёма нет.</t>
        </is>
      </c>
      <c r="E22" s="9" t="inlineStr">
        <is>
          <t>Не применимо</t>
        </is>
      </c>
      <c r="F22" s="9" t="inlineStr">
        <is>
          <t>ADR-400</t>
        </is>
      </c>
    </row>
  </sheetData>
  <mergeCells count="1">
    <mergeCell ref="A2:F2"/>
  </mergeCell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V42"/>
  <sheetViews>
    <sheetView showGridLines="0" workbookViewId="0">
      <pane xSplit="3" ySplit="11" topLeftCell="D1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9" customWidth="1" min="2" max="2"/>
    <col width="46" customWidth="1" min="3" max="3"/>
    <col width="8" customWidth="1" min="4" max="4"/>
    <col width="9" customWidth="1" min="5" max="5"/>
    <col width="10" customWidth="1" min="6" max="6"/>
    <col width="10" customWidth="1" min="7" max="7"/>
    <col width="11" customWidth="1" min="8" max="8"/>
    <col width="9" customWidth="1" min="9" max="9"/>
    <col width="10" customWidth="1" min="10" max="10"/>
    <col width="10" customWidth="1" min="11" max="11"/>
    <col width="11" customWidth="1" min="12" max="12"/>
    <col width="8" customWidth="1" min="13" max="13"/>
    <col width="9" customWidth="1" min="14" max="14"/>
    <col width="10" customWidth="1" min="15" max="15"/>
    <col width="10" customWidth="1" min="16" max="16"/>
    <col width="11" customWidth="1" min="17" max="17"/>
    <col width="9" customWidth="1" min="18" max="18"/>
    <col width="10" customWidth="1" min="19" max="19"/>
    <col width="10" customWidth="1" min="20" max="20"/>
    <col width="11" customWidth="1" min="21" max="21"/>
    <col width="90" customWidth="1" min="22" max="22"/>
  </cols>
  <sheetData>
    <row r="1">
      <c r="A1" s="32" t="inlineStr">
        <is>
          <t>Расчётный sizing по компонентам (допущения, не результат нагрузочного теста)</t>
        </is>
      </c>
    </row>
    <row r="2">
      <c r="A2" s="33" t="inlineStr">
        <is>
          <t>Синие ячейки — входные допущения, их можно менять; итоги и число узлов пересчитываются. Основание — в последней колонке.</t>
        </is>
      </c>
    </row>
    <row r="3" ht="32" customHeight="1">
      <c r="B3" s="11" t="inlineStr">
        <is>
          <t>Расчётная нагрузка</t>
        </is>
      </c>
      <c r="C3" s="9" t="inlineStr">
        <is>
          <t>Расчётный пик — 0,1 запроса/с на MVP и 1 запрос/с на тираже; это выше максимума прогноза `Capacity_Report.html` (0,058 и 0,656 запроса/с), одновременно до 0,17 и 1,97 запроса (время ответа 3 с). До модели доходит 70% запросов (максимум прогноза).</t>
        </is>
      </c>
    </row>
    <row r="4" ht="32" customHeight="1">
      <c r="B4" s="11" t="inlineStr">
        <is>
          <t>CPU на запрос</t>
        </is>
      </c>
      <c r="C4" s="9" t="inlineStr">
        <is>
          <t>Путь без модели — 8,5 мс на запрос (замер: один процесс отдаёт 117 запросов/с). Путь с моделью — 0,9 с на ответ в 800 знаков (эмбеддинг 36 мс + обезличивание + проверка ответа на потоке 0,3–0,9 с; на ответе в 2 000 знаков 1,4–4,5 с, замер). При максимуме прогноза (0,46 запроса/с к модели на тираже) это ≈0,41 ядра; на ответах в 2 000 знаков — до 2,1 ядра.</t>
        </is>
      </c>
    </row>
    <row r="5" ht="32" customHeight="1">
      <c r="B5" s="11" t="inlineStr">
        <is>
          <t>Память</t>
        </is>
      </c>
      <c r="C5" s="9" t="inlineStr">
        <is>
          <t>Замер: обезличиватель (Presidio + spaCy `ru_core_news_md`) — 769 МиБ, эмбеддер e5-small — ещё 300 МиБ, контейнер Backend целиком — 1,32 ГиБ. На MVP эмбеддер уходит в отдельный сервис, обезличиватель остаётся в шлюзе.</t>
        </is>
      </c>
    </row>
    <row r="6" ht="32" customHeight="1">
      <c r="B6" s="11" t="inlineStr">
        <is>
          <t>Данные</t>
        </is>
      </c>
      <c r="C6" s="9" t="inlineStr">
        <is>
          <t>Ключ квоты в Redis — 72 байта, с накладными ≈0,5 КБ (замер). Сессия диалога — 1,6 КБ на два хода, ≈0,8 КБ на ход (замер), живёт 30 минут. Диалог — 4 хода ≈ 4 КБ с метаданными (допущение A3 = 4). Срок хранения журнала диалогов принят 90 суток (требование ИБ неизвестно). Строка телеметрии — 308 байт с индексами (замер).</t>
        </is>
      </c>
    </row>
    <row r="7" ht="32" customHeight="1">
      <c r="B7" s="11" t="inlineStr">
        <is>
          <t>Отказоустойчивость</t>
        </is>
      </c>
      <c r="C7" s="9" t="inlineStr">
        <is>
          <t>Минимум 2 реплики у stateless-сервисов; у хранилищ — 1 экземпляр на MVP с ежедневной копией и 2 экземпляра на тираже. Узлов на один больше, чем нужно по запросам (N+1); GPU-узел один, потеря узла = отказ поиска до восстановления.</t>
        </is>
      </c>
    </row>
    <row r="8" ht="32" customHeight="1">
      <c r="B8" s="11" t="inlineStr">
        <is>
          <t>Узлы</t>
        </is>
      </c>
      <c r="C8" s="9" t="inlineStr">
        <is>
          <t>Загрузка узла по запросам не выше 70%. Класс узлов: общий — 8 vCPU / 16 ГиБ; данных — 8 vCPU / 32 ГиБ с NVMe; GPU — 8 vCPU / 32 ГиБ и видеокарта 24 ГБ; LLM (тираж) — 16 vCPU / 128 ГиБ и A100 80 ГБ.</t>
        </is>
      </c>
    </row>
    <row r="10">
      <c r="D10" s="51" t="inlineStr">
        <is>
          <t>MVP</t>
        </is>
      </c>
      <c r="M10" s="51" t="inlineStr">
        <is>
          <t>Тираж</t>
        </is>
      </c>
    </row>
    <row r="11">
      <c r="A11" s="5" t="inlineStr">
        <is>
          <t>№</t>
        </is>
      </c>
      <c r="B11" s="5" t="inlineStr">
        <is>
          <t>Пул</t>
        </is>
      </c>
      <c r="C11" s="5" t="inlineStr">
        <is>
          <t>Компонент</t>
        </is>
      </c>
      <c r="D11" s="5" t="inlineStr">
        <is>
          <t>Реплик</t>
        </is>
      </c>
      <c r="E11" s="5" t="inlineStr">
        <is>
          <t>vCPU на под</t>
        </is>
      </c>
      <c r="F11" s="5" t="inlineStr">
        <is>
          <t>ОЗУ, ГиБ на под</t>
        </is>
      </c>
      <c r="G11" s="5" t="inlineStr">
        <is>
          <t>Диск, ГиБ на под</t>
        </is>
      </c>
      <c r="H11" s="5" t="inlineStr">
        <is>
          <t>Видеопамять, ГиБ на под</t>
        </is>
      </c>
      <c r="I11" s="5" t="inlineStr">
        <is>
          <t>vCPU всего</t>
        </is>
      </c>
      <c r="J11" s="5" t="inlineStr">
        <is>
          <t>ОЗУ всего, ГиБ</t>
        </is>
      </c>
      <c r="K11" s="5" t="inlineStr">
        <is>
          <t>Диск всего, ГиБ</t>
        </is>
      </c>
      <c r="L11" s="5" t="inlineStr">
        <is>
          <t>Видеопамять всего, ГиБ</t>
        </is>
      </c>
      <c r="M11" s="5" t="inlineStr">
        <is>
          <t>Реплик</t>
        </is>
      </c>
      <c r="N11" s="5" t="inlineStr">
        <is>
          <t>vCPU на под</t>
        </is>
      </c>
      <c r="O11" s="5" t="inlineStr">
        <is>
          <t>ОЗУ, ГиБ на под</t>
        </is>
      </c>
      <c r="P11" s="5" t="inlineStr">
        <is>
          <t>Диск, ГиБ на под</t>
        </is>
      </c>
      <c r="Q11" s="5" t="inlineStr">
        <is>
          <t>Видеопамять, ГиБ на под</t>
        </is>
      </c>
      <c r="R11" s="5" t="inlineStr">
        <is>
          <t>vCPU всего</t>
        </is>
      </c>
      <c r="S11" s="5" t="inlineStr">
        <is>
          <t>ОЗУ всего, ГиБ</t>
        </is>
      </c>
      <c r="T11" s="5" t="inlineStr">
        <is>
          <t>Диск всего, ГиБ</t>
        </is>
      </c>
      <c r="U11" s="5" t="inlineStr">
        <is>
          <t>Видеопамять всего, ГиБ</t>
        </is>
      </c>
      <c r="V11" s="5" t="inlineStr">
        <is>
          <t>Основание</t>
        </is>
      </c>
    </row>
    <row r="12" ht="30" customHeight="1">
      <c r="A12" s="50" t="n">
        <v>1</v>
      </c>
      <c r="B12" s="9" t="inlineStr">
        <is>
          <t>general</t>
        </is>
      </c>
      <c r="C12" s="11" t="inlineStr">
        <is>
          <t>Ingress (nginx)</t>
        </is>
      </c>
      <c r="D12" s="52" t="n">
        <v>2</v>
      </c>
      <c r="E12" s="52" t="n">
        <v>0.25</v>
      </c>
      <c r="F12" s="52" t="n">
        <v>0.25</v>
      </c>
      <c r="G12" s="52" t="n">
        <v>0</v>
      </c>
      <c r="H12" s="52" t="n">
        <v>0</v>
      </c>
      <c r="I12" s="53">
        <f>D12*E12</f>
        <v/>
      </c>
      <c r="J12" s="53">
        <f>D12*F12</f>
        <v/>
      </c>
      <c r="K12" s="53">
        <f>D12*G12</f>
        <v/>
      </c>
      <c r="L12" s="53">
        <f>D12*H12</f>
        <v/>
      </c>
      <c r="M12" s="52" t="n">
        <v>2</v>
      </c>
      <c r="N12" s="52" t="n">
        <v>0.25</v>
      </c>
      <c r="O12" s="52" t="n">
        <v>0.25</v>
      </c>
      <c r="P12" s="52" t="n">
        <v>0</v>
      </c>
      <c r="Q12" s="52" t="n">
        <v>0</v>
      </c>
      <c r="R12" s="53">
        <f>M12*N12</f>
        <v/>
      </c>
      <c r="S12" s="53">
        <f>M12*O12</f>
        <v/>
      </c>
      <c r="T12" s="53">
        <f>M12*P12</f>
        <v/>
      </c>
      <c r="U12" s="53">
        <f>M12*Q12</f>
        <v/>
      </c>
      <c r="V12" s="9" t="inlineStr">
        <is>
          <t>Допущение. Внешний трафик — единицы запросов в секунду.</t>
        </is>
      </c>
    </row>
    <row r="13" ht="30" customHeight="1">
      <c r="A13" s="50" t="n">
        <v>2</v>
      </c>
      <c r="B13" s="9" t="inlineStr">
        <is>
          <t>general</t>
        </is>
      </c>
      <c r="C13" s="11" t="inlineStr">
        <is>
          <t>Vault</t>
        </is>
      </c>
      <c r="D13" s="52" t="n">
        <v>1</v>
      </c>
      <c r="E13" s="52" t="n">
        <v>0.25</v>
      </c>
      <c r="F13" s="52" t="n">
        <v>0.25</v>
      </c>
      <c r="G13" s="52" t="n">
        <v>1</v>
      </c>
      <c r="H13" s="52" t="n">
        <v>0</v>
      </c>
      <c r="I13" s="53">
        <f>D13*E13</f>
        <v/>
      </c>
      <c r="J13" s="53">
        <f>D13*F13</f>
        <v/>
      </c>
      <c r="K13" s="53">
        <f>D13*G13</f>
        <v/>
      </c>
      <c r="L13" s="53">
        <f>D13*H13</f>
        <v/>
      </c>
      <c r="M13" s="52" t="n">
        <v>1</v>
      </c>
      <c r="N13" s="52" t="n">
        <v>0.25</v>
      </c>
      <c r="O13" s="52" t="n">
        <v>0.25</v>
      </c>
      <c r="P13" s="52" t="n">
        <v>1</v>
      </c>
      <c r="Q13" s="52" t="n">
        <v>0</v>
      </c>
      <c r="R13" s="53">
        <f>M13*N13</f>
        <v/>
      </c>
      <c r="S13" s="53">
        <f>M13*O13</f>
        <v/>
      </c>
      <c r="T13" s="53">
        <f>M13*P13</f>
        <v/>
      </c>
      <c r="U13" s="53">
        <f>M13*Q13</f>
        <v/>
      </c>
      <c r="V13" s="9" t="inlineStr">
        <is>
          <t>Допущение. Инжектор секретов и cert-manager — отдельной строкой не выделены (≈0,1 vCPU / 0,1 ГиБ).</t>
        </is>
      </c>
    </row>
    <row r="14" ht="30" customHeight="1">
      <c r="A14" s="50" t="n">
        <v>3</v>
      </c>
      <c r="B14" s="9" t="inlineStr">
        <is>
          <t>general</t>
        </is>
      </c>
      <c r="C14" s="11" t="inlineStr">
        <is>
          <t>AI-виджет (статические файлы)</t>
        </is>
      </c>
      <c r="D14" s="52" t="n">
        <v>2</v>
      </c>
      <c r="E14" s="52" t="n">
        <v>0.1</v>
      </c>
      <c r="F14" s="52" t="n">
        <v>0.1</v>
      </c>
      <c r="G14" s="52" t="n">
        <v>0</v>
      </c>
      <c r="H14" s="52" t="n">
        <v>0</v>
      </c>
      <c r="I14" s="53">
        <f>D14*E14</f>
        <v/>
      </c>
      <c r="J14" s="53">
        <f>D14*F14</f>
        <v/>
      </c>
      <c r="K14" s="53">
        <f>D14*G14</f>
        <v/>
      </c>
      <c r="L14" s="53">
        <f>D14*H14</f>
        <v/>
      </c>
      <c r="M14" s="52" t="n">
        <v>2</v>
      </c>
      <c r="N14" s="52" t="n">
        <v>0.1</v>
      </c>
      <c r="O14" s="52" t="n">
        <v>0.1</v>
      </c>
      <c r="P14" s="52" t="n">
        <v>0</v>
      </c>
      <c r="Q14" s="52" t="n">
        <v>0</v>
      </c>
      <c r="R14" s="53">
        <f>M14*N14</f>
        <v/>
      </c>
      <c r="S14" s="53">
        <f>M14*O14</f>
        <v/>
      </c>
      <c r="T14" s="53">
        <f>M14*P14</f>
        <v/>
      </c>
      <c r="U14" s="53">
        <f>M14*Q14</f>
        <v/>
      </c>
      <c r="V14" s="9" t="inlineStr">
        <is>
          <t>Допущение. На стенде три статических файла.</t>
        </is>
      </c>
    </row>
    <row r="15" ht="30" customHeight="1">
      <c r="A15" s="50" t="n">
        <v>4</v>
      </c>
      <c r="B15" s="9" t="inlineStr">
        <is>
          <t>general</t>
        </is>
      </c>
      <c r="C15" s="11" t="inlineStr">
        <is>
          <t>Backend (API, классификация, поиск, сборка ответа)</t>
        </is>
      </c>
      <c r="D15" s="52" t="n">
        <v>2</v>
      </c>
      <c r="E15" s="52" t="n">
        <v>0.5</v>
      </c>
      <c r="F15" s="52" t="n">
        <v>0.5</v>
      </c>
      <c r="G15" s="52" t="n">
        <v>0</v>
      </c>
      <c r="H15" s="52" t="n">
        <v>0</v>
      </c>
      <c r="I15" s="53">
        <f>D15*E15</f>
        <v/>
      </c>
      <c r="J15" s="53">
        <f>D15*F15</f>
        <v/>
      </c>
      <c r="K15" s="53">
        <f>D15*G15</f>
        <v/>
      </c>
      <c r="L15" s="53">
        <f>D15*H15</f>
        <v/>
      </c>
      <c r="M15" s="52" t="n">
        <v>3</v>
      </c>
      <c r="N15" s="52" t="n">
        <v>1</v>
      </c>
      <c r="O15" s="52" t="n">
        <v>1</v>
      </c>
      <c r="P15" s="52" t="n">
        <v>0</v>
      </c>
      <c r="Q15" s="52" t="n">
        <v>0</v>
      </c>
      <c r="R15" s="53">
        <f>M15*N15</f>
        <v/>
      </c>
      <c r="S15" s="53">
        <f>M15*O15</f>
        <v/>
      </c>
      <c r="T15" s="53">
        <f>M15*P15</f>
        <v/>
      </c>
      <c r="U15" s="53">
        <f>M15*Q15</f>
        <v/>
      </c>
      <c r="V15" s="9" t="inlineStr">
        <is>
          <t>Замер: путь без модели — 117 запросов/с на процесс (8,5 мс CPU). 2 реплики нужны для отказоустойчивости, а не для пропускной способности; ОЗУ — допущение (эмбеддер и обезличиватель вынесены).</t>
        </is>
      </c>
    </row>
    <row r="16" ht="45" customHeight="1">
      <c r="A16" s="50" t="n">
        <v>5</v>
      </c>
      <c r="B16" s="9" t="inlineStr">
        <is>
          <t>general</t>
        </is>
      </c>
      <c r="C16" s="11" t="inlineStr">
        <is>
          <t>LLM Gateway (лимиты, обезличивание, проверка ответа)</t>
        </is>
      </c>
      <c r="D16" s="52" t="n">
        <v>2</v>
      </c>
      <c r="E16" s="52" t="n">
        <v>0.5</v>
      </c>
      <c r="F16" s="52" t="n">
        <v>1.5</v>
      </c>
      <c r="G16" s="52" t="n">
        <v>0</v>
      </c>
      <c r="H16" s="52" t="n">
        <v>0</v>
      </c>
      <c r="I16" s="53">
        <f>D16*E16</f>
        <v/>
      </c>
      <c r="J16" s="53">
        <f>D16*F16</f>
        <v/>
      </c>
      <c r="K16" s="53">
        <f>D16*G16</f>
        <v/>
      </c>
      <c r="L16" s="53">
        <f>D16*H16</f>
        <v/>
      </c>
      <c r="M16" s="52" t="n">
        <v>3</v>
      </c>
      <c r="N16" s="52" t="n">
        <v>1</v>
      </c>
      <c r="O16" s="52" t="n">
        <v>1.5</v>
      </c>
      <c r="P16" s="52" t="n">
        <v>0</v>
      </c>
      <c r="Q16" s="52" t="n">
        <v>0</v>
      </c>
      <c r="R16" s="53">
        <f>M16*N16</f>
        <v/>
      </c>
      <c r="S16" s="53">
        <f>M16*O16</f>
        <v/>
      </c>
      <c r="T16" s="53">
        <f>M16*P16</f>
        <v/>
      </c>
      <c r="U16" s="53">
        <f>M16*Q16</f>
        <v/>
      </c>
      <c r="V16" s="9" t="inlineStr">
        <is>
          <t>Замер ОЗУ: обезличиватель 769 МиБ. CPU: 0,9 с на ответ в 800 знаков — 0,04 ядра на MVP, 0,41 на тираже (максимум прогноза); на ответах в 2 000 знаков до 2,1 ядра (3 реплики × 1 vCPU + предел 2). После оптимизации проверки на потоке запас вырастет.</t>
        </is>
      </c>
    </row>
    <row r="17" ht="30" customHeight="1">
      <c r="A17" s="50" t="n">
        <v>6</v>
      </c>
      <c r="B17" s="9" t="inlineStr">
        <is>
          <t>general</t>
        </is>
      </c>
      <c r="C17" s="11" t="inlineStr">
        <is>
          <t>Billing Adapter, оркестратор записи (Этап 2)</t>
        </is>
      </c>
      <c r="D17" s="52" t="n">
        <v>2</v>
      </c>
      <c r="E17" s="52" t="n">
        <v>0.25</v>
      </c>
      <c r="F17" s="52" t="n">
        <v>0.25</v>
      </c>
      <c r="G17" s="52" t="n">
        <v>0</v>
      </c>
      <c r="H17" s="52" t="n">
        <v>0</v>
      </c>
      <c r="I17" s="53">
        <f>D17*E17</f>
        <v/>
      </c>
      <c r="J17" s="53">
        <f>D17*F17</f>
        <v/>
      </c>
      <c r="K17" s="53">
        <f>D17*G17</f>
        <v/>
      </c>
      <c r="L17" s="53">
        <f>D17*H17</f>
        <v/>
      </c>
      <c r="M17" s="52" t="n">
        <v>2</v>
      </c>
      <c r="N17" s="52" t="n">
        <v>0.25</v>
      </c>
      <c r="O17" s="52" t="n">
        <v>0.25</v>
      </c>
      <c r="P17" s="52" t="n">
        <v>0</v>
      </c>
      <c r="Q17" s="52" t="n">
        <v>0</v>
      </c>
      <c r="R17" s="53">
        <f>M17*N17</f>
        <v/>
      </c>
      <c r="S17" s="53">
        <f>M17*O17</f>
        <v/>
      </c>
      <c r="T17" s="53">
        <f>M17*P17</f>
        <v/>
      </c>
      <c r="U17" s="53">
        <f>M17*Q17</f>
        <v/>
      </c>
      <c r="V17" s="9" t="inlineStr">
        <is>
          <t>Допущение. До 2 800 диалогов с записью в месяц на MVP и 31 500 на тираже (максимум прогноза, A6 = 40%) — нагрузка ничтожна.</t>
        </is>
      </c>
    </row>
    <row r="18" ht="30" customHeight="1">
      <c r="A18" s="50" t="n">
        <v>7</v>
      </c>
      <c r="B18" s="9" t="inlineStr">
        <is>
          <t>general</t>
        </is>
      </c>
      <c r="C18" s="11" t="inlineStr">
        <is>
          <t>Document Generator (PDF, Этап 2)</t>
        </is>
      </c>
      <c r="D18" s="52" t="n">
        <v>1</v>
      </c>
      <c r="E18" s="52" t="n">
        <v>0.5</v>
      </c>
      <c r="F18" s="52" t="n">
        <v>1</v>
      </c>
      <c r="G18" s="52" t="n">
        <v>0</v>
      </c>
      <c r="H18" s="52" t="n">
        <v>0</v>
      </c>
      <c r="I18" s="53">
        <f>D18*E18</f>
        <v/>
      </c>
      <c r="J18" s="53">
        <f>D18*F18</f>
        <v/>
      </c>
      <c r="K18" s="53">
        <f>D18*G18</f>
        <v/>
      </c>
      <c r="L18" s="53">
        <f>D18*H18</f>
        <v/>
      </c>
      <c r="M18" s="52" t="n">
        <v>2</v>
      </c>
      <c r="N18" s="52" t="n">
        <v>0.5</v>
      </c>
      <c r="O18" s="52" t="n">
        <v>1</v>
      </c>
      <c r="P18" s="52" t="n">
        <v>0</v>
      </c>
      <c r="Q18" s="52" t="n">
        <v>0</v>
      </c>
      <c r="R18" s="53">
        <f>M18*N18</f>
        <v/>
      </c>
      <c r="S18" s="53">
        <f>M18*O18</f>
        <v/>
      </c>
      <c r="T18" s="53">
        <f>M18*P18</f>
        <v/>
      </c>
      <c r="U18" s="53">
        <f>M18*Q18</f>
        <v/>
      </c>
      <c r="V18" s="9" t="inlineStr">
        <is>
          <t>Допущение. Библиотека PDF не выбрана; ≈1 бланк на диалог с записью (до 31 500 в месяц на тираже).</t>
        </is>
      </c>
    </row>
    <row r="19" ht="30" customHeight="1">
      <c r="A19" s="50" t="n">
        <v>8</v>
      </c>
      <c r="B19" s="9" t="inlineStr">
        <is>
          <t>general</t>
        </is>
      </c>
      <c r="C19" s="11" t="inlineStr">
        <is>
          <t>ETL индексации (CronJob, окно 02:00–05:00)</t>
        </is>
      </c>
      <c r="D19" s="52" t="n">
        <v>1</v>
      </c>
      <c r="E19" s="52" t="n">
        <v>1</v>
      </c>
      <c r="F19" s="52" t="n">
        <v>2</v>
      </c>
      <c r="G19" s="52" t="n">
        <v>5</v>
      </c>
      <c r="H19" s="52" t="n">
        <v>0</v>
      </c>
      <c r="I19" s="53">
        <f>D19*E19</f>
        <v/>
      </c>
      <c r="J19" s="53">
        <f>D19*F19</f>
        <v/>
      </c>
      <c r="K19" s="53">
        <f>D19*G19</f>
        <v/>
      </c>
      <c r="L19" s="53">
        <f>D19*H19</f>
        <v/>
      </c>
      <c r="M19" s="52" t="n">
        <v>1</v>
      </c>
      <c r="N19" s="52" t="n">
        <v>1</v>
      </c>
      <c r="O19" s="52" t="n">
        <v>2</v>
      </c>
      <c r="P19" s="52" t="n">
        <v>5</v>
      </c>
      <c r="Q19" s="52" t="n">
        <v>0</v>
      </c>
      <c r="R19" s="53">
        <f>M19*N19</f>
        <v/>
      </c>
      <c r="S19" s="53">
        <f>M19*O19</f>
        <v/>
      </c>
      <c r="T19" s="53">
        <f>M19*P19</f>
        <v/>
      </c>
      <c r="U19" s="53">
        <f>M19*Q19</f>
        <v/>
      </c>
      <c r="V19" s="9" t="inlineStr">
        <is>
          <t>Допущение. Эмбеддинги считает GPU-сервис; 5 ГиБ — временные файлы документов. Время индексации на GPU не измерялось.</t>
        </is>
      </c>
    </row>
    <row r="20" ht="30" customHeight="1">
      <c r="A20" s="50" t="n">
        <v>9</v>
      </c>
      <c r="B20" s="9" t="inlineStr">
        <is>
          <t>general</t>
        </is>
      </c>
      <c r="C20" s="11" t="inlineStr">
        <is>
          <t>Оценка качества (CronJob, ночной прогон)</t>
        </is>
      </c>
      <c r="D20" s="52" t="n">
        <v>1</v>
      </c>
      <c r="E20" s="52" t="n">
        <v>0.5</v>
      </c>
      <c r="F20" s="52" t="n">
        <v>1</v>
      </c>
      <c r="G20" s="52" t="n">
        <v>0</v>
      </c>
      <c r="H20" s="52" t="n">
        <v>0</v>
      </c>
      <c r="I20" s="53">
        <f>D20*E20</f>
        <v/>
      </c>
      <c r="J20" s="53">
        <f>D20*F20</f>
        <v/>
      </c>
      <c r="K20" s="53">
        <f>D20*G20</f>
        <v/>
      </c>
      <c r="L20" s="53">
        <f>D20*H20</f>
        <v/>
      </c>
      <c r="M20" s="52" t="n">
        <v>1</v>
      </c>
      <c r="N20" s="52" t="n">
        <v>0.5</v>
      </c>
      <c r="O20" s="52" t="n">
        <v>1</v>
      </c>
      <c r="P20" s="52" t="n">
        <v>0</v>
      </c>
      <c r="Q20" s="52" t="n">
        <v>0</v>
      </c>
      <c r="R20" s="53">
        <f>M20*N20</f>
        <v/>
      </c>
      <c r="S20" s="53">
        <f>M20*O20</f>
        <v/>
      </c>
      <c r="T20" s="53">
        <f>M20*P20</f>
        <v/>
      </c>
      <c r="U20" s="53">
        <f>M20*Q20</f>
        <v/>
      </c>
      <c r="V20" s="9" t="inlineStr">
        <is>
          <t>Допущение. Ходит во внешний API судьи; локальной нагрузки почти нет.</t>
        </is>
      </c>
    </row>
    <row r="21" ht="30" customHeight="1">
      <c r="A21" s="50" t="n">
        <v>10</v>
      </c>
      <c r="B21" s="9" t="inlineStr">
        <is>
          <t>general</t>
        </is>
      </c>
      <c r="C21" s="11" t="inlineStr">
        <is>
          <t>Prometheus</t>
        </is>
      </c>
      <c r="D21" s="52" t="n">
        <v>1</v>
      </c>
      <c r="E21" s="52" t="n">
        <v>0.5</v>
      </c>
      <c r="F21" s="52" t="n">
        <v>1</v>
      </c>
      <c r="G21" s="52" t="n">
        <v>10</v>
      </c>
      <c r="H21" s="52" t="n">
        <v>0</v>
      </c>
      <c r="I21" s="53">
        <f>D21*E21</f>
        <v/>
      </c>
      <c r="J21" s="53">
        <f>D21*F21</f>
        <v/>
      </c>
      <c r="K21" s="53">
        <f>D21*G21</f>
        <v/>
      </c>
      <c r="L21" s="53">
        <f>D21*H21</f>
        <v/>
      </c>
      <c r="M21" s="52" t="n">
        <v>1</v>
      </c>
      <c r="N21" s="52" t="n">
        <v>0.5</v>
      </c>
      <c r="O21" s="52" t="n">
        <v>1</v>
      </c>
      <c r="P21" s="52" t="n">
        <v>10</v>
      </c>
      <c r="Q21" s="52" t="n">
        <v>0</v>
      </c>
      <c r="R21" s="53">
        <f>M21*N21</f>
        <v/>
      </c>
      <c r="S21" s="53">
        <f>M21*O21</f>
        <v/>
      </c>
      <c r="T21" s="53">
        <f>M21*P21</f>
        <v/>
      </c>
      <c r="U21" s="53">
        <f>M21*Q21</f>
        <v/>
      </c>
      <c r="V21" s="9" t="inlineStr">
        <is>
          <t>Замер: 84 ряда на процесс приложения; допущение: до 20 000 рядов с метриками кластера, хранение 15 суток ≈2,6 ГБ.</t>
        </is>
      </c>
    </row>
    <row r="22" ht="30" customHeight="1">
      <c r="A22" s="50" t="n">
        <v>11</v>
      </c>
      <c r="B22" s="9" t="inlineStr">
        <is>
          <t>general</t>
        </is>
      </c>
      <c r="C22" s="11" t="inlineStr">
        <is>
          <t>Grafana</t>
        </is>
      </c>
      <c r="D22" s="52" t="n">
        <v>1</v>
      </c>
      <c r="E22" s="52" t="n">
        <v>0.25</v>
      </c>
      <c r="F22" s="52" t="n">
        <v>0.25</v>
      </c>
      <c r="G22" s="52" t="n">
        <v>1</v>
      </c>
      <c r="H22" s="52" t="n">
        <v>0</v>
      </c>
      <c r="I22" s="53">
        <f>D22*E22</f>
        <v/>
      </c>
      <c r="J22" s="53">
        <f>D22*F22</f>
        <v/>
      </c>
      <c r="K22" s="53">
        <f>D22*G22</f>
        <v/>
      </c>
      <c r="L22" s="53">
        <f>D22*H22</f>
        <v/>
      </c>
      <c r="M22" s="52" t="n">
        <v>1</v>
      </c>
      <c r="N22" s="52" t="n">
        <v>0.25</v>
      </c>
      <c r="O22" s="52" t="n">
        <v>0.25</v>
      </c>
      <c r="P22" s="52" t="n">
        <v>1</v>
      </c>
      <c r="Q22" s="52" t="n">
        <v>0</v>
      </c>
      <c r="R22" s="53">
        <f>M22*N22</f>
        <v/>
      </c>
      <c r="S22" s="53">
        <f>M22*O22</f>
        <v/>
      </c>
      <c r="T22" s="53">
        <f>M22*P22</f>
        <v/>
      </c>
      <c r="U22" s="53">
        <f>M22*Q22</f>
        <v/>
      </c>
      <c r="V22" s="9" t="inlineStr">
        <is>
          <t>Допущение.</t>
        </is>
      </c>
    </row>
    <row r="23" ht="30" customHeight="1">
      <c r="A23" s="50" t="n">
        <v>12</v>
      </c>
      <c r="B23" s="9" t="inlineStr">
        <is>
          <t>general</t>
        </is>
      </c>
      <c r="C23" s="11" t="inlineStr">
        <is>
          <t>Loki</t>
        </is>
      </c>
      <c r="D23" s="52" t="n">
        <v>1</v>
      </c>
      <c r="E23" s="52" t="n">
        <v>0.5</v>
      </c>
      <c r="F23" s="52" t="n">
        <v>1</v>
      </c>
      <c r="G23" s="52" t="n">
        <v>20</v>
      </c>
      <c r="H23" s="52" t="n">
        <v>0</v>
      </c>
      <c r="I23" s="53">
        <f>D23*E23</f>
        <v/>
      </c>
      <c r="J23" s="53">
        <f>D23*F23</f>
        <v/>
      </c>
      <c r="K23" s="53">
        <f>D23*G23</f>
        <v/>
      </c>
      <c r="L23" s="53">
        <f>D23*H23</f>
        <v/>
      </c>
      <c r="M23" s="52" t="n">
        <v>1</v>
      </c>
      <c r="N23" s="52" t="n">
        <v>0.5</v>
      </c>
      <c r="O23" s="52" t="n">
        <v>1</v>
      </c>
      <c r="P23" s="52" t="n">
        <v>20</v>
      </c>
      <c r="Q23" s="52" t="n">
        <v>0</v>
      </c>
      <c r="R23" s="53">
        <f>M23*N23</f>
        <v/>
      </c>
      <c r="S23" s="53">
        <f>M23*O23</f>
        <v/>
      </c>
      <c r="T23" s="53">
        <f>M23*P23</f>
        <v/>
      </c>
      <c r="U23" s="53">
        <f>M23*Q23</f>
        <v/>
      </c>
      <c r="V23" s="9" t="inlineStr">
        <is>
          <t>Расчёт из `Capacity_Report.html`: 0,02–0,42 ГБ за 30 суток на MVP, 0,19–4,7 ГБ на тираже (допущение 10 записей на вопрос по 1 КБ); 20 ГиБ с запасом.</t>
        </is>
      </c>
    </row>
    <row r="24" ht="30" customHeight="1">
      <c r="A24" s="50" t="n">
        <v>13</v>
      </c>
      <c r="B24" s="9" t="inlineStr">
        <is>
          <t>general</t>
        </is>
      </c>
      <c r="C24" s="11" t="inlineStr">
        <is>
          <t>Alertmanager</t>
        </is>
      </c>
      <c r="D24" s="52" t="n">
        <v>1</v>
      </c>
      <c r="E24" s="52" t="n">
        <v>0.1</v>
      </c>
      <c r="F24" s="52" t="n">
        <v>0.1</v>
      </c>
      <c r="G24" s="52" t="n">
        <v>0</v>
      </c>
      <c r="H24" s="52" t="n">
        <v>0</v>
      </c>
      <c r="I24" s="53">
        <f>D24*E24</f>
        <v/>
      </c>
      <c r="J24" s="53">
        <f>D24*F24</f>
        <v/>
      </c>
      <c r="K24" s="53">
        <f>D24*G24</f>
        <v/>
      </c>
      <c r="L24" s="53">
        <f>D24*H24</f>
        <v/>
      </c>
      <c r="M24" s="52" t="n">
        <v>1</v>
      </c>
      <c r="N24" s="52" t="n">
        <v>0.1</v>
      </c>
      <c r="O24" s="52" t="n">
        <v>0.1</v>
      </c>
      <c r="P24" s="52" t="n">
        <v>0</v>
      </c>
      <c r="Q24" s="52" t="n">
        <v>0</v>
      </c>
      <c r="R24" s="53">
        <f>M24*N24</f>
        <v/>
      </c>
      <c r="S24" s="53">
        <f>M24*O24</f>
        <v/>
      </c>
      <c r="T24" s="53">
        <f>M24*P24</f>
        <v/>
      </c>
      <c r="U24" s="53">
        <f>M24*Q24</f>
        <v/>
      </c>
      <c r="V24" s="9" t="inlineStr">
        <is>
          <t>Допущение.</t>
        </is>
      </c>
    </row>
    <row r="25" ht="45" customHeight="1">
      <c r="A25" s="50" t="n">
        <v>14</v>
      </c>
      <c r="B25" s="9" t="inlineStr">
        <is>
          <t>data</t>
        </is>
      </c>
      <c r="C25" s="11" t="inlineStr">
        <is>
          <t>Qdrant</t>
        </is>
      </c>
      <c r="D25" s="52" t="n">
        <v>1</v>
      </c>
      <c r="E25" s="52" t="n">
        <v>1</v>
      </c>
      <c r="F25" s="52" t="n">
        <v>2</v>
      </c>
      <c r="G25" s="52" t="n">
        <v>10</v>
      </c>
      <c r="H25" s="52" t="n">
        <v>0</v>
      </c>
      <c r="I25" s="53">
        <f>D25*E25</f>
        <v/>
      </c>
      <c r="J25" s="53">
        <f>D25*F25</f>
        <v/>
      </c>
      <c r="K25" s="53">
        <f>D25*G25</f>
        <v/>
      </c>
      <c r="L25" s="53">
        <f>D25*H25</f>
        <v/>
      </c>
      <c r="M25" s="52" t="n">
        <v>2</v>
      </c>
      <c r="N25" s="52" t="n">
        <v>1</v>
      </c>
      <c r="O25" s="52" t="n">
        <v>2</v>
      </c>
      <c r="P25" s="52" t="n">
        <v>10</v>
      </c>
      <c r="Q25" s="52" t="n">
        <v>0</v>
      </c>
      <c r="R25" s="53">
        <f>M25*N25</f>
        <v/>
      </c>
      <c r="S25" s="53">
        <f>M25*O25</f>
        <v/>
      </c>
      <c r="T25" s="53">
        <f>M25*P25</f>
        <v/>
      </c>
      <c r="U25" s="53">
        <f>M25*Q25</f>
        <v/>
      </c>
      <c r="V25" s="9" t="inlineStr">
        <is>
          <t>Расчёт: 30–100 тыс. векторов × 1 024 × 4 байта = 123–410 МБ, с индексом ≈1 ГБ; во время blue-green две коллекции и копия — 10 ГиБ. Замер: 100 000 векторов, P99 65 мс. От числа абонентов не зависит; вторая реплика на тираже — для отказоустойчивости.</t>
        </is>
      </c>
    </row>
    <row r="26" ht="75" customHeight="1">
      <c r="A26" s="50" t="n">
        <v>15</v>
      </c>
      <c r="B26" s="9" t="inlineStr">
        <is>
          <t>data</t>
        </is>
      </c>
      <c r="C26" s="11" t="inlineStr">
        <is>
          <t>Postgres (обращения, профиль, телеметрия, журнал диалогов)</t>
        </is>
      </c>
      <c r="D26" s="52" t="n">
        <v>1</v>
      </c>
      <c r="E26" s="52" t="n">
        <v>1</v>
      </c>
      <c r="F26" s="52" t="n">
        <v>2</v>
      </c>
      <c r="G26" s="52" t="n">
        <v>20</v>
      </c>
      <c r="H26" s="52" t="n">
        <v>0</v>
      </c>
      <c r="I26" s="53">
        <f>D26*E26</f>
        <v/>
      </c>
      <c r="J26" s="53">
        <f>D26*F26</f>
        <v/>
      </c>
      <c r="K26" s="53">
        <f>D26*G26</f>
        <v/>
      </c>
      <c r="L26" s="53">
        <f>D26*H26</f>
        <v/>
      </c>
      <c r="M26" s="52" t="n">
        <v>2</v>
      </c>
      <c r="N26" s="52" t="n">
        <v>1</v>
      </c>
      <c r="O26" s="52" t="n">
        <v>2</v>
      </c>
      <c r="P26" s="52" t="n">
        <v>50</v>
      </c>
      <c r="Q26" s="52" t="n">
        <v>0</v>
      </c>
      <c r="R26" s="53">
        <f>M26*N26</f>
        <v/>
      </c>
      <c r="S26" s="53">
        <f>M26*O26</f>
        <v/>
      </c>
      <c r="T26" s="53">
        <f>M26*P26</f>
        <v/>
      </c>
      <c r="U26" s="53">
        <f>M26*Q26</f>
        <v/>
      </c>
      <c r="V26" s="9" t="inlineStr">
        <is>
          <t>Расчёт по максимуму прогноза: журнал диалогов за 90 суток (4 КБ на диалог) — 84 МБ на MVP и 0,95 ГБ на тираже; профиль 24 МБ и 270 МБ (3 КБ на абонента — допущение); события использования 0,11 ГБ и 1,2 ГБ в год (308 байт на строку, замер); обращения (2 КБ на строку, доля записи 40%) 0,07 и 0,76 ГБ в год. Итого до 0,4 ГБ (MVP) и до 4 ГБ (тираж; подробные события хранятся 12 месяцев, старше — сводная таблица); диск с запасом на журнал и копии.</t>
        </is>
      </c>
    </row>
    <row r="27" ht="45" customHeight="1">
      <c r="A27" s="50" t="n">
        <v>16</v>
      </c>
      <c r="B27" s="9" t="inlineStr">
        <is>
          <t>data</t>
        </is>
      </c>
      <c r="C27" s="11" t="inlineStr">
        <is>
          <t>Redis (квоты и сессии)</t>
        </is>
      </c>
      <c r="D27" s="52" t="n">
        <v>1</v>
      </c>
      <c r="E27" s="52" t="n">
        <v>0.1</v>
      </c>
      <c r="F27" s="52" t="n">
        <v>0.25</v>
      </c>
      <c r="G27" s="52" t="n">
        <v>1</v>
      </c>
      <c r="H27" s="52" t="n">
        <v>0</v>
      </c>
      <c r="I27" s="53">
        <f>D27*E27</f>
        <v/>
      </c>
      <c r="J27" s="53">
        <f>D27*F27</f>
        <v/>
      </c>
      <c r="K27" s="53">
        <f>D27*G27</f>
        <v/>
      </c>
      <c r="L27" s="53">
        <f>D27*H27</f>
        <v/>
      </c>
      <c r="M27" s="52" t="n">
        <v>2</v>
      </c>
      <c r="N27" s="52" t="n">
        <v>0.1</v>
      </c>
      <c r="O27" s="52" t="n">
        <v>0.25</v>
      </c>
      <c r="P27" s="52" t="n">
        <v>1</v>
      </c>
      <c r="Q27" s="52" t="n">
        <v>0</v>
      </c>
      <c r="R27" s="53">
        <f>M27*N27</f>
        <v/>
      </c>
      <c r="S27" s="53">
        <f>M27*O27</f>
        <v/>
      </c>
      <c r="T27" s="53">
        <f>M27*P27</f>
        <v/>
      </c>
      <c r="U27" s="53">
        <f>M27*Q27</f>
        <v/>
      </c>
      <c r="V27" s="9" t="inlineStr">
        <is>
          <t>Замер: ключ квоты ≈0,5 КБ, сессия ≈0,8 КБ на ход, срок жизни 30 минут. До 1 200 одновременных сессий (0,656 запроса/с × 30 мин) × 3 КБ ≈ 4 МБ: объём ничтожен. Отказ Redis отклоняет запросы (fail-closed), поэтому на тираже 2 экземпляра.</t>
        </is>
      </c>
    </row>
    <row r="28" ht="45" customHeight="1">
      <c r="A28" s="50" t="n">
        <v>17</v>
      </c>
      <c r="B28" s="9" t="inlineStr">
        <is>
          <t>data</t>
        </is>
      </c>
      <c r="C28" s="11" t="inlineStr">
        <is>
          <t>MinIO (документы, копии, снимки)</t>
        </is>
      </c>
      <c r="D28" s="52" t="n">
        <v>1</v>
      </c>
      <c r="E28" s="52" t="n">
        <v>0.25</v>
      </c>
      <c r="F28" s="52" t="n">
        <v>0.5</v>
      </c>
      <c r="G28" s="52" t="n">
        <v>100</v>
      </c>
      <c r="H28" s="52" t="n">
        <v>0</v>
      </c>
      <c r="I28" s="53">
        <f>D28*E28</f>
        <v/>
      </c>
      <c r="J28" s="53">
        <f>D28*F28</f>
        <v/>
      </c>
      <c r="K28" s="53">
        <f>D28*G28</f>
        <v/>
      </c>
      <c r="L28" s="53">
        <f>D28*H28</f>
        <v/>
      </c>
      <c r="M28" s="52" t="n">
        <v>1</v>
      </c>
      <c r="N28" s="52" t="n">
        <v>0.5</v>
      </c>
      <c r="O28" s="52" t="n">
        <v>1</v>
      </c>
      <c r="P28" s="52" t="n">
        <v>400</v>
      </c>
      <c r="Q28" s="52" t="n">
        <v>0</v>
      </c>
      <c r="R28" s="53">
        <f>M28*N28</f>
        <v/>
      </c>
      <c r="S28" s="53">
        <f>M28*O28</f>
        <v/>
      </c>
      <c r="T28" s="53">
        <f>M28*P28</f>
        <v/>
      </c>
      <c r="U28" s="53">
        <f>M28*Q28</f>
        <v/>
      </c>
      <c r="V28" s="9" t="inlineStr">
        <is>
          <t>Расчёт по максимуму прогноза: готовые бланки ≈200 КБ (допущение) × 2 800 в месяц = 6,7 ГБ в год (MVP) и × 31 500 = 76 ГБ в год (тираж), хранение 3 года — 20 и 227 ГБ; копии Postgres за 7 суток до 42 ГБ; документы базы знаний ≈1 ГБ; снимки Qdrant.</t>
        </is>
      </c>
    </row>
    <row r="29" ht="30" customHeight="1">
      <c r="A29" s="50" t="n">
        <v>18</v>
      </c>
      <c r="B29" s="9" t="inlineStr">
        <is>
          <t>gpu</t>
        </is>
      </c>
      <c r="C29" s="11" t="inlineStr">
        <is>
          <t>Эмбеддинги (BGE-M3, inference)</t>
        </is>
      </c>
      <c r="D29" s="52" t="n">
        <v>1</v>
      </c>
      <c r="E29" s="52" t="n">
        <v>1</v>
      </c>
      <c r="F29" s="52" t="n">
        <v>4</v>
      </c>
      <c r="G29" s="52" t="n">
        <v>5</v>
      </c>
      <c r="H29" s="52" t="n">
        <v>2</v>
      </c>
      <c r="I29" s="53">
        <f>D29*E29</f>
        <v/>
      </c>
      <c r="J29" s="53">
        <f>D29*F29</f>
        <v/>
      </c>
      <c r="K29" s="53">
        <f>D29*G29</f>
        <v/>
      </c>
      <c r="L29" s="53">
        <f>D29*H29</f>
        <v/>
      </c>
      <c r="M29" s="52" t="n">
        <v>1</v>
      </c>
      <c r="N29" s="52" t="n">
        <v>1</v>
      </c>
      <c r="O29" s="52" t="n">
        <v>4</v>
      </c>
      <c r="P29" s="52" t="n">
        <v>5</v>
      </c>
      <c r="Q29" s="52" t="n">
        <v>2</v>
      </c>
      <c r="R29" s="53">
        <f>M29*N29</f>
        <v/>
      </c>
      <c r="S29" s="53">
        <f>M29*O29</f>
        <v/>
      </c>
      <c r="T29" s="53">
        <f>M29*P29</f>
        <v/>
      </c>
      <c r="U29" s="53">
        <f>M29*Q29</f>
        <v/>
      </c>
      <c r="V29" s="9" t="inlineStr">
        <is>
          <t>Замер: веса 2,14 ГиБ (fp32; прежние 4,25 ГБ — две копии в кэше). Расчёт: в fp16 ≈1,1 ГиБ + запас — ≈2 ГиБ видеопамяти. Скорость на GPU не измерялась.</t>
        </is>
      </c>
    </row>
    <row r="30" ht="30" customHeight="1">
      <c r="A30" s="50" t="n">
        <v>19</v>
      </c>
      <c r="B30" s="9" t="inlineStr">
        <is>
          <t>gpu</t>
        </is>
      </c>
      <c r="C30" s="11" t="inlineStr">
        <is>
          <t>Реранкер (BGE-reranker-v2-m3, inference)</t>
        </is>
      </c>
      <c r="D30" s="52" t="n">
        <v>1</v>
      </c>
      <c r="E30" s="52" t="n">
        <v>1</v>
      </c>
      <c r="F30" s="52" t="n">
        <v>3</v>
      </c>
      <c r="G30" s="52" t="n">
        <v>3</v>
      </c>
      <c r="H30" s="52" t="n">
        <v>1.5</v>
      </c>
      <c r="I30" s="53">
        <f>D30*E30</f>
        <v/>
      </c>
      <c r="J30" s="53">
        <f>D30*F30</f>
        <v/>
      </c>
      <c r="K30" s="53">
        <f>D30*G30</f>
        <v/>
      </c>
      <c r="L30" s="53">
        <f>D30*H30</f>
        <v/>
      </c>
      <c r="M30" s="52" t="n">
        <v>1</v>
      </c>
      <c r="N30" s="52" t="n">
        <v>1</v>
      </c>
      <c r="O30" s="52" t="n">
        <v>3</v>
      </c>
      <c r="P30" s="52" t="n">
        <v>3</v>
      </c>
      <c r="Q30" s="52" t="n">
        <v>1.5</v>
      </c>
      <c r="R30" s="53">
        <f>M30*N30</f>
        <v/>
      </c>
      <c r="S30" s="53">
        <f>M30*O30</f>
        <v/>
      </c>
      <c r="T30" s="53">
        <f>M30*P30</f>
        <v/>
      </c>
      <c r="U30" s="53">
        <f>M30*Q30</f>
        <v/>
      </c>
      <c r="V30" s="9" t="inlineStr">
        <is>
          <t>Замер: веса 2,14 ГиБ (fp32). Расчёт: в fp16 ≈1,1 ГиБ + запас — ≈1,5 ГиБ видеопамяти. Скорость на GPU не измерялась; на CPU 7,2 с на 20 кандидатов.</t>
        </is>
      </c>
    </row>
    <row r="31" ht="30" customHeight="1">
      <c r="A31" s="50" t="n">
        <v>20</v>
      </c>
      <c r="B31" s="9" t="inlineStr">
        <is>
          <t>gpu-llm</t>
        </is>
      </c>
      <c r="C31" s="11" t="inlineStr">
        <is>
          <t>Собственная модель (Qwen2.5-32B INT4, vLLM) — по триггеру</t>
        </is>
      </c>
      <c r="D31" s="52" t="n">
        <v>0</v>
      </c>
      <c r="E31" s="52" t="n">
        <v>8</v>
      </c>
      <c r="F31" s="52" t="n">
        <v>64</v>
      </c>
      <c r="G31" s="52" t="n">
        <v>100</v>
      </c>
      <c r="H31" s="52" t="n">
        <v>0</v>
      </c>
      <c r="I31" s="53">
        <f>D31*E31</f>
        <v/>
      </c>
      <c r="J31" s="53">
        <f>D31*F31</f>
        <v/>
      </c>
      <c r="K31" s="53">
        <f>D31*G31</f>
        <v/>
      </c>
      <c r="L31" s="53">
        <f>D31*H31</f>
        <v/>
      </c>
      <c r="M31" s="52" t="n">
        <v>1</v>
      </c>
      <c r="N31" s="52" t="n">
        <v>8</v>
      </c>
      <c r="O31" s="52" t="n">
        <v>64</v>
      </c>
      <c r="P31" s="52" t="n">
        <v>100</v>
      </c>
      <c r="Q31" s="52" t="n">
        <v>40</v>
      </c>
      <c r="R31" s="53">
        <f>M31*N31</f>
        <v/>
      </c>
      <c r="S31" s="53">
        <f>M31*O31</f>
        <v/>
      </c>
      <c r="T31" s="53">
        <f>M31*P31</f>
        <v/>
      </c>
      <c r="U31" s="53">
        <f>M31*Q31</f>
        <v/>
      </c>
      <c r="V31" s="9" t="inlineStr">
        <is>
          <t>Только на тираже по триггеру. Видеопамять 40 ГБ — допущение (веса INT4 ожидаются 17–20 ГБ, заложено 34 ГБ, плюс кэш); проверка на карте не проводилась.</t>
        </is>
      </c>
    </row>
    <row r="33">
      <c r="C33" s="43" t="inlineStr">
        <is>
          <t>Итог по пулам узлов</t>
        </is>
      </c>
      <c r="P33" s="9" t="inlineStr">
        <is>
          <t>Загрузка узла по запросам, не выше</t>
        </is>
      </c>
      <c r="Q33" s="54" t="n">
        <v>0.7</v>
      </c>
    </row>
    <row r="34">
      <c r="B34" s="5" t="inlineStr">
        <is>
          <t>Пул</t>
        </is>
      </c>
      <c r="C34" s="5" t="inlineStr">
        <is>
          <t>Класс узла</t>
        </is>
      </c>
      <c r="D34" s="5" t="inlineStr">
        <is>
          <t>vCPU узла</t>
        </is>
      </c>
      <c r="E34" s="5" t="inlineStr">
        <is>
          <t>ОЗУ узла, ГиБ</t>
        </is>
      </c>
      <c r="F34" s="5" t="inlineStr">
        <is>
          <t>Видеопамять узла, ГиБ</t>
        </is>
      </c>
      <c r="G34" s="5" t="inlineStr">
        <is>
          <t>Запас на потерю узла (1 — да)</t>
        </is>
      </c>
      <c r="H34" s="5" t="inlineStr">
        <is>
          <t>MVP: vCPU</t>
        </is>
      </c>
      <c r="I34" s="5" t="inlineStr">
        <is>
          <t>MVP: ОЗУ</t>
        </is>
      </c>
      <c r="J34" s="5" t="inlineStr">
        <is>
          <t>MVP: видеопамять</t>
        </is>
      </c>
      <c r="K34" s="5" t="inlineStr">
        <is>
          <t>MVP: узлов</t>
        </is>
      </c>
      <c r="L34" s="5" t="inlineStr">
        <is>
          <t>Тираж: vCPU</t>
        </is>
      </c>
      <c r="M34" s="5" t="inlineStr">
        <is>
          <t>Тираж: ОЗУ</t>
        </is>
      </c>
      <c r="N34" s="5" t="inlineStr">
        <is>
          <t>Тираж: видеопамять</t>
        </is>
      </c>
      <c r="O34" s="5" t="inlineStr">
        <is>
          <t>Тираж: узлов</t>
        </is>
      </c>
    </row>
    <row r="35">
      <c r="B35" s="11" t="inlineStr">
        <is>
          <t>general</t>
        </is>
      </c>
      <c r="C35" s="9" t="inlineStr">
        <is>
          <t>Общий пул (платформа, приложение, наблюдаемость)</t>
        </is>
      </c>
      <c r="D35" s="10" t="n">
        <v>8</v>
      </c>
      <c r="E35" s="10" t="n">
        <v>16</v>
      </c>
      <c r="F35" s="10" t="n">
        <v>0</v>
      </c>
      <c r="G35" s="10" t="n">
        <v>1</v>
      </c>
      <c r="H35" s="55">
        <f>SUMIF($B$12:$B$31,$B35,$I$12:$I$31)</f>
        <v/>
      </c>
      <c r="I35" s="55">
        <f>SUMIF($B$12:$B$31,$B35,$J$12:$J$31)</f>
        <v/>
      </c>
      <c r="J35" s="55">
        <f>SUMIF($B$12:$B$31,$B35,$L$12:$L$31)</f>
        <v/>
      </c>
      <c r="K35" s="56">
        <f>IF(H35=0,0,ROUNDUP(MAX(H35/($Q$33*$D35),I35/($Q$33*$E35),IF($F35&gt;0,J35/($Q$33*$F35),0)),0)+$G35)</f>
        <v/>
      </c>
      <c r="L35" s="55">
        <f>SUMIF($B$12:$B$31,$B35,$R$12:$R$31)</f>
        <v/>
      </c>
      <c r="M35" s="55">
        <f>SUMIF($B$12:$B$31,$B35,$S$12:$S$31)</f>
        <v/>
      </c>
      <c r="N35" s="55">
        <f>SUMIF($B$12:$B$31,$B35,$U$12:$U$31)</f>
        <v/>
      </c>
      <c r="O35" s="56">
        <f>IF(L35=0,0,ROUNDUP(MAX(L35/($Q$33*$D35),M35/($Q$33*$E35),IF($F35&gt;0,N35/($Q$33*$F35),0)),0)+$G35)</f>
        <v/>
      </c>
    </row>
    <row r="36">
      <c r="B36" s="11" t="inlineStr">
        <is>
          <t>data</t>
        </is>
      </c>
      <c r="C36" s="9" t="inlineStr">
        <is>
          <t>Пул данных (NVMe)</t>
        </is>
      </c>
      <c r="D36" s="10" t="n">
        <v>8</v>
      </c>
      <c r="E36" s="10" t="n">
        <v>32</v>
      </c>
      <c r="F36" s="10" t="n">
        <v>0</v>
      </c>
      <c r="G36" s="10" t="n">
        <v>1</v>
      </c>
      <c r="H36" s="55">
        <f>SUMIF($B$12:$B$31,$B36,$I$12:$I$31)</f>
        <v/>
      </c>
      <c r="I36" s="55">
        <f>SUMIF($B$12:$B$31,$B36,$J$12:$J$31)</f>
        <v/>
      </c>
      <c r="J36" s="55">
        <f>SUMIF($B$12:$B$31,$B36,$L$12:$L$31)</f>
        <v/>
      </c>
      <c r="K36" s="56">
        <f>IF(H36=0,0,ROUNDUP(MAX(H36/($Q$33*$D36),I36/($Q$33*$E36),IF($F36&gt;0,J36/($Q$33*$F36),0)),0)+$G36)</f>
        <v/>
      </c>
      <c r="L36" s="55">
        <f>SUMIF($B$12:$B$31,$B36,$R$12:$R$31)</f>
        <v/>
      </c>
      <c r="M36" s="55">
        <f>SUMIF($B$12:$B$31,$B36,$S$12:$S$31)</f>
        <v/>
      </c>
      <c r="N36" s="55">
        <f>SUMIF($B$12:$B$31,$B36,$U$12:$U$31)</f>
        <v/>
      </c>
      <c r="O36" s="56">
        <f>IF(L36=0,0,ROUNDUP(MAX(L36/($Q$33*$D36),M36/($Q$33*$E36),IF($F36&gt;0,N36/($Q$33*$F36),0)),0)+$G36)</f>
        <v/>
      </c>
    </row>
    <row r="37">
      <c r="B37" s="11" t="inlineStr">
        <is>
          <t>gpu</t>
        </is>
      </c>
      <c r="C37" s="9" t="inlineStr">
        <is>
          <t>GPU-пул (эмбеддинги, реранкер)</t>
        </is>
      </c>
      <c r="D37" s="10" t="n">
        <v>8</v>
      </c>
      <c r="E37" s="10" t="n">
        <v>32</v>
      </c>
      <c r="F37" s="10" t="n">
        <v>24</v>
      </c>
      <c r="G37" s="10" t="n">
        <v>0</v>
      </c>
      <c r="H37" s="55">
        <f>SUMIF($B$12:$B$31,$B37,$I$12:$I$31)</f>
        <v/>
      </c>
      <c r="I37" s="55">
        <f>SUMIF($B$12:$B$31,$B37,$J$12:$J$31)</f>
        <v/>
      </c>
      <c r="J37" s="55">
        <f>SUMIF($B$12:$B$31,$B37,$L$12:$L$31)</f>
        <v/>
      </c>
      <c r="K37" s="56">
        <f>IF(H37=0,0,ROUNDUP(MAX(H37/($Q$33*$D37),I37/($Q$33*$E37),IF($F37&gt;0,J37/($Q$33*$F37),0)),0)+$G37)</f>
        <v/>
      </c>
      <c r="L37" s="55">
        <f>SUMIF($B$12:$B$31,$B37,$R$12:$R$31)</f>
        <v/>
      </c>
      <c r="M37" s="55">
        <f>SUMIF($B$12:$B$31,$B37,$S$12:$S$31)</f>
        <v/>
      </c>
      <c r="N37" s="55">
        <f>SUMIF($B$12:$B$31,$B37,$U$12:$U$31)</f>
        <v/>
      </c>
      <c r="O37" s="56">
        <f>IF(L37=0,0,ROUNDUP(MAX(L37/($Q$33*$D37),M37/($Q$33*$E37),IF($F37&gt;0,N37/($Q$33*$F37),0)),0)+$G37)</f>
        <v/>
      </c>
    </row>
    <row r="38">
      <c r="B38" s="11" t="inlineStr">
        <is>
          <t>gpu-llm</t>
        </is>
      </c>
      <c r="C38" s="9" t="inlineStr">
        <is>
          <t>GPU-пул генерации (тираж)</t>
        </is>
      </c>
      <c r="D38" s="10" t="n">
        <v>16</v>
      </c>
      <c r="E38" s="10" t="n">
        <v>128</v>
      </c>
      <c r="F38" s="10" t="n">
        <v>80</v>
      </c>
      <c r="G38" s="10" t="n">
        <v>0</v>
      </c>
      <c r="H38" s="55">
        <f>SUMIF($B$12:$B$31,$B38,$I$12:$I$31)</f>
        <v/>
      </c>
      <c r="I38" s="55">
        <f>SUMIF($B$12:$B$31,$B38,$J$12:$J$31)</f>
        <v/>
      </c>
      <c r="J38" s="55">
        <f>SUMIF($B$12:$B$31,$B38,$L$12:$L$31)</f>
        <v/>
      </c>
      <c r="K38" s="56">
        <f>IF(H38=0,0,ROUNDUP(MAX(H38/($Q$33*$D38),I38/($Q$33*$E38),IF($F38&gt;0,J38/($Q$33*$F38),0)),0)+$G38)</f>
        <v/>
      </c>
      <c r="L38" s="55">
        <f>SUMIF($B$12:$B$31,$B38,$R$12:$R$31)</f>
        <v/>
      </c>
      <c r="M38" s="55">
        <f>SUMIF($B$12:$B$31,$B38,$S$12:$S$31)</f>
        <v/>
      </c>
      <c r="N38" s="55">
        <f>SUMIF($B$12:$B$31,$B38,$U$12:$U$31)</f>
        <v/>
      </c>
      <c r="O38" s="56">
        <f>IF(L38=0,0,ROUNDUP(MAX(L38/($Q$33*$D38),M38/($Q$33*$E38),IF($F38&gt;0,N38/($Q$33*$F38),0)),0)+$G38)</f>
        <v/>
      </c>
    </row>
    <row r="39">
      <c r="B39" s="11" t="inlineStr">
        <is>
          <t>Итого узлов</t>
        </is>
      </c>
      <c r="K39" s="57">
        <f>SUM(K35:K38)</f>
        <v/>
      </c>
      <c r="O39" s="57">
        <f>SUM(O35:O38)</f>
        <v/>
      </c>
    </row>
    <row r="40">
      <c r="B40" s="11" t="inlineStr">
        <is>
          <t>Диск под тома, ГиБ</t>
        </is>
      </c>
      <c r="K40" s="58">
        <f>SUM($K$12:$K$31)</f>
        <v/>
      </c>
      <c r="O40" s="58">
        <f>SUM($T$12:$T$31)</f>
        <v/>
      </c>
    </row>
    <row r="42">
      <c r="B42" s="33" t="inlineStr">
        <is>
          <t>Не покрыто: скорость моделей на GPU (видеопамять и время индексации — допущения); стоимость серверов и обслуживания; системные поды Kubernetes (≈1 vCPU и 2 ГиБ на узел); нагрузочный тест не проводился.</t>
        </is>
      </c>
    </row>
  </sheetData>
  <mergeCells count="8">
    <mergeCell ref="D10:L10"/>
    <mergeCell ref="C4:U4"/>
    <mergeCell ref="C5:U5"/>
    <mergeCell ref="M10:U10"/>
    <mergeCell ref="C8:U8"/>
    <mergeCell ref="C3:U3"/>
    <mergeCell ref="C7:U7"/>
    <mergeCell ref="C6:U6"/>
  </mergeCells>
  <pageMargins left="0.75" right="0.75" top="1" bottom="1" header="0.5" footer="0.5"/>
  <pageSetup orientation="landscape"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G38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60" customWidth="1" min="2" max="2"/>
    <col width="16" customWidth="1" min="3" max="3"/>
    <col width="16" customWidth="1" min="4" max="4"/>
    <col width="16" customWidth="1" min="5" max="5"/>
    <col width="16" customWidth="1" min="6" max="6"/>
    <col width="60" customWidth="1" min="7" max="7"/>
  </cols>
  <sheetData>
    <row r="1">
      <c r="A1" s="32" t="inlineStr">
        <is>
          <t>Прогноз нагрузки и стоимости токенов — минимум и максимум</t>
        </is>
      </c>
    </row>
    <row r="2" ht="34" customHeight="1">
      <c r="A2" s="49" t="inlineStr">
        <is>
          <t>Синие ячейки — входные допущения: после получения данных по обращениям подставьте новые значения, нагрузка и стоимость пересчитаются. Тариф — публичный тариф YandexGPT Pro из ADR-500, не проверялся; тариф GigaChat Pro неизвестен. Цен на серверы и GPU нет.</t>
        </is>
      </c>
    </row>
    <row r="4">
      <c r="A4" s="5" t="inlineStr">
        <is>
          <t>№</t>
        </is>
      </c>
      <c r="B4" s="5" t="inlineStr">
        <is>
          <t>Входное допущение</t>
        </is>
      </c>
      <c r="C4" s="5" t="inlineStr">
        <is>
          <t>Минимум</t>
        </is>
      </c>
      <c r="D4" s="5" t="inlineStr">
        <is>
          <t>Максимум</t>
        </is>
      </c>
      <c r="E4" s="5" t="inlineStr"/>
      <c r="F4" s="5" t="inlineStr"/>
      <c r="G4" s="5" t="inlineStr">
        <is>
          <t>Откуда взято / чем подтвердить</t>
        </is>
      </c>
    </row>
    <row r="5" ht="30" customHeight="1">
      <c r="A5" s="56" t="inlineStr">
        <is>
          <t>A1</t>
        </is>
      </c>
      <c r="B5" s="9" t="inlineStr">
        <is>
          <t>Доля абонентов, пришедших в чат хотя бы раз в месяц</t>
        </is>
      </c>
      <c r="C5" s="54" t="n">
        <v>0.07000000000000001</v>
      </c>
      <c r="D5" s="54" t="n">
        <v>0.35</v>
      </c>
      <c r="G5" s="9" t="inlineStr">
        <is>
          <t>70% абонентов обращаются раз в месяц (ADR-500) × доля визитов через чат 10–50%. Не все абоненты пойдут в диалог. Подтвердить: Статистика посещаемости личного кабинета и доля, доходящая до чата</t>
        </is>
      </c>
    </row>
    <row r="6" ht="30" customHeight="1">
      <c r="A6" s="56" t="inlineStr">
        <is>
          <t>A2</t>
        </is>
      </c>
      <c r="B6" s="9" t="inlineStr">
        <is>
          <t>Диалогов на такого абонента в месяц</t>
        </is>
      </c>
      <c r="C6" s="59" t="n">
        <v>1</v>
      </c>
      <c r="D6" s="59" t="n">
        <v>2.5</v>
      </c>
      <c r="G6" s="9" t="inlineStr">
        <is>
          <t>Взято из прежнего отчёта (низкий и высокий сценарии). Подтвердить: Частота обращений в колл-центр на абонента</t>
        </is>
      </c>
    </row>
    <row r="7" ht="30" customHeight="1">
      <c r="A7" s="56" t="inlineStr">
        <is>
          <t>A3</t>
        </is>
      </c>
      <c r="B7" s="9" t="inlineStr">
        <is>
          <t>Вопросов внутри одного диалога</t>
        </is>
      </c>
      <c r="C7" s="59" t="n">
        <v>3</v>
      </c>
      <c r="D7" s="59" t="n">
        <v>6</v>
      </c>
      <c r="G7" s="9" t="inlineStr">
        <is>
          <t>3 вопроса за визит (ADR-500) и верхняя оценка прежнего отчёта. Подтвердить: Анализ живых обращений и пилот</t>
        </is>
      </c>
    </row>
    <row r="8" ht="30" customHeight="1">
      <c r="A8" s="56" t="inlineStr">
        <is>
          <t>P</t>
        </is>
      </c>
      <c r="B8" s="9" t="inlineStr">
        <is>
          <t>Доля вопросов, доходящих до модели</t>
        </is>
      </c>
      <c r="C8" s="54" t="n">
        <v>0.3</v>
      </c>
      <c r="D8" s="54" t="n">
        <v>0.7</v>
      </c>
      <c r="G8" s="9" t="inlineStr">
        <is>
          <t>Замер на двух наборах живых текстов: 30% (регистр обращений по телефону и почте) и 70% (форма вопросов Golden Set). Остальные закрывают правила и ответы без модели. Подтвердить: Анализ живых обращений (ADR-600)</t>
        </is>
      </c>
    </row>
    <row r="9" ht="30" customHeight="1">
      <c r="A9" s="56" t="inlineStr">
        <is>
          <t>T</t>
        </is>
      </c>
      <c r="B9" s="9" t="inlineStr">
        <is>
          <t>Токенов на запрос к модели (вход + выход)</t>
        </is>
      </c>
      <c r="C9" s="59" t="n">
        <v>401</v>
      </c>
      <c r="D9" s="59" t="n">
        <v>3500</v>
      </c>
      <c r="G9" s="9" t="inlineStr">
        <is>
          <t>Минимум — замер по 19 вызовам YandexGPT (короткие фрагменты FAQ). Максимум — допущение прежнего отчёта: система + 3 фрагмента по ≈800 токенов. Подтвердить: Пилот на базе из нескольких тысяч документов</t>
        </is>
      </c>
    </row>
    <row r="10" ht="30" customHeight="1">
      <c r="A10" s="56" t="inlineStr">
        <is>
          <t>A4</t>
        </is>
      </c>
      <c r="B10" s="9" t="inlineStr">
        <is>
          <t>Доля суточных запросов в пиковый час</t>
        </is>
      </c>
      <c r="C10" s="54" t="n">
        <v>0.15</v>
      </c>
      <c r="D10" s="54" t="n">
        <v>0.15</v>
      </c>
      <c r="G10" s="9" t="inlineStr">
        <is>
          <t>Допущение прежнего отчёта; профиль ЖКХ (дни начисления и оплаты). Подтвердить: Статистика ЛК</t>
        </is>
      </c>
    </row>
    <row r="11" ht="30" customHeight="1">
      <c r="A11" s="56" t="inlineStr">
        <is>
          <t>W</t>
        </is>
      </c>
      <c r="B11" s="9" t="inlineStr">
        <is>
          <t>Время ответа, с</t>
        </is>
      </c>
      <c r="C11" s="59" t="n">
        <v>3</v>
      </c>
      <c r="D11" s="59" t="n">
        <v>3</v>
      </c>
      <c r="G11" s="9" t="inlineStr">
        <is>
          <t>Целевое значение (DoD). Подтвердить: —</t>
        </is>
      </c>
    </row>
    <row r="12" ht="30" customHeight="1">
      <c r="A12" s="56" t="inlineStr">
        <is>
          <t>G</t>
        </is>
      </c>
      <c r="B12" s="9" t="inlineStr">
        <is>
          <t>Вопросов в эталонном наборе для судьи</t>
        </is>
      </c>
      <c r="C12" s="59" t="n">
        <v>30</v>
      </c>
      <c r="D12" s="59" t="n">
        <v>30</v>
      </c>
      <c r="G12" s="9" t="inlineStr">
        <is>
          <t>Замер: `golden_set/quality.json`, 30 вопросов. Подтвердить: —</t>
        </is>
      </c>
    </row>
    <row r="13" ht="30" customHeight="1">
      <c r="A13" s="56" t="inlineStr">
        <is>
          <t>R</t>
        </is>
      </c>
      <c r="B13" s="9" t="inlineStr">
        <is>
          <t>Прогонов эталонного набора в месяц</t>
        </is>
      </c>
      <c r="C13" s="59" t="n">
        <v>4.3</v>
      </c>
      <c r="D13" s="59" t="n">
        <v>30</v>
      </c>
      <c r="G13" s="9" t="inlineStr">
        <is>
          <t>Минимум — раз в неделю, максимум — каждую ночь. Подтвердить: Решение команды</t>
        </is>
      </c>
    </row>
    <row r="14" ht="30" customHeight="1">
      <c r="A14" s="56" t="inlineStr">
        <is>
          <t>C</t>
        </is>
      </c>
      <c r="B14" s="9" t="inlineStr">
        <is>
          <t>Вызовов судьи на образец</t>
        </is>
      </c>
      <c r="C14" s="59" t="n">
        <v>5</v>
      </c>
      <c r="D14" s="59" t="n">
        <v>5</v>
      </c>
      <c r="G14" s="9" t="inlineStr">
        <is>
          <t>Допущение прежнего отчёта, не измерено. Подтвердить: Первый прогон с провайдером</t>
        </is>
      </c>
    </row>
    <row r="15" ht="30" customHeight="1">
      <c r="A15" s="56" t="inlineStr">
        <is>
          <t>J</t>
        </is>
      </c>
      <c r="B15" s="9" t="inlineStr">
        <is>
          <t>Токенов на вызов судьи</t>
        </is>
      </c>
      <c r="C15" s="59" t="n">
        <v>2000</v>
      </c>
      <c r="D15" s="59" t="n">
        <v>2000</v>
      </c>
      <c r="G15" s="9" t="inlineStr">
        <is>
          <t>Допущение прежнего отчёта, не измерено. Подтвердить: Первый прогон с провайдером</t>
        </is>
      </c>
    </row>
    <row r="16" ht="30" customHeight="1">
      <c r="A16" s="56" t="inlineStr">
        <is>
          <t>S_</t>
        </is>
      </c>
      <c r="B16" s="9" t="inlineStr">
        <is>
          <t>Доля ответов, оцениваемых судьёй в проде</t>
        </is>
      </c>
      <c r="C16" s="54" t="n">
        <v>0.01</v>
      </c>
      <c r="D16" s="54" t="n">
        <v>0.05</v>
      </c>
      <c r="G16" s="9" t="inlineStr">
        <is>
          <t>Допущение: 1–5% выборка трафика. Подтвердить: Решение команды</t>
        </is>
      </c>
    </row>
    <row r="17" ht="30" customHeight="1">
      <c r="A17" s="56" t="inlineStr">
        <is>
          <t>A6</t>
        </is>
      </c>
      <c r="B17" s="9" t="inlineStr">
        <is>
          <t>Доля диалогов с записью (Этап 2)</t>
        </is>
      </c>
      <c r="C17" s="54" t="n">
        <v>0.15</v>
      </c>
      <c r="D17" s="54" t="n">
        <v>0.4</v>
      </c>
      <c r="G17" s="9" t="inlineStr">
        <is>
          <t>Прежний отчёт: 15–40%. Подтвердить: Разметка обращений и пилот</t>
        </is>
      </c>
    </row>
    <row r="18" ht="30" customHeight="1">
      <c r="A18" s="56" t="inlineStr">
        <is>
          <t>A8</t>
        </is>
      </c>
      <c r="B18" s="9" t="inlineStr">
        <is>
          <t>Токенов на диалог с записью сверх обычных (Этап 2)</t>
        </is>
      </c>
      <c r="C18" s="59" t="n">
        <v>6000</v>
      </c>
      <c r="D18" s="59" t="n">
        <v>20000</v>
      </c>
      <c r="G18" s="9" t="inlineStr">
        <is>
          <t>Прежний отчёт: 6 000–20 000. Подтвердить: Замер на пилоте</t>
        </is>
      </c>
    </row>
    <row r="19">
      <c r="B19" s="11" t="inlineStr">
        <is>
          <t>Тариф, ₽ за 1000 токенов</t>
        </is>
      </c>
      <c r="C19" s="60" t="n">
        <v>0.8</v>
      </c>
    </row>
    <row r="20">
      <c r="B20" s="11" t="inlineStr">
        <is>
          <t>Абонентов, MVP</t>
        </is>
      </c>
      <c r="C20" s="61" t="n">
        <v>8000</v>
      </c>
    </row>
    <row r="21">
      <c r="B21" s="11" t="inlineStr">
        <is>
          <t>Абонентов, тираж</t>
        </is>
      </c>
      <c r="C21" s="61" t="n">
        <v>90000</v>
      </c>
    </row>
    <row r="23">
      <c r="B23" s="5" t="inlineStr">
        <is>
          <t>Показатель</t>
        </is>
      </c>
      <c r="C23" s="5" t="inlineStr">
        <is>
          <t>MVP, минимум</t>
        </is>
      </c>
      <c r="D23" s="5" t="inlineStr">
        <is>
          <t>MVP, максимум</t>
        </is>
      </c>
      <c r="E23" s="5" t="inlineStr">
        <is>
          <t>Тираж, минимум</t>
        </is>
      </c>
      <c r="F23" s="5" t="inlineStr">
        <is>
          <t>Тираж, максимум</t>
        </is>
      </c>
    </row>
    <row r="24">
      <c r="B24" s="9" t="inlineStr">
        <is>
          <t>Пришло в чат за месяц, человек</t>
        </is>
      </c>
      <c r="C24" s="42">
        <f>$C$20*C5</f>
        <v/>
      </c>
      <c r="D24" s="42">
        <f>$C$20*D5</f>
        <v/>
      </c>
      <c r="E24" s="42">
        <f>$C$21*C5</f>
        <v/>
      </c>
      <c r="F24" s="42">
        <f>$C$21*D5</f>
        <v/>
      </c>
    </row>
    <row r="25">
      <c r="B25" s="9" t="inlineStr">
        <is>
          <t>Диалогов в месяц</t>
        </is>
      </c>
      <c r="C25" s="42">
        <f>C24*C6</f>
        <v/>
      </c>
      <c r="D25" s="42">
        <f>D24*D6</f>
        <v/>
      </c>
      <c r="E25" s="42">
        <f>E24*C6</f>
        <v/>
      </c>
      <c r="F25" s="42">
        <f>F24*D6</f>
        <v/>
      </c>
    </row>
    <row r="26">
      <c r="B26" s="9" t="inlineStr">
        <is>
          <t>Вопросов в месяц</t>
        </is>
      </c>
      <c r="C26" s="42">
        <f>C25*C7</f>
        <v/>
      </c>
      <c r="D26" s="42">
        <f>D25*D7</f>
        <v/>
      </c>
      <c r="E26" s="42">
        <f>E25*C7</f>
        <v/>
      </c>
      <c r="F26" s="42">
        <f>F25*D7</f>
        <v/>
      </c>
    </row>
    <row r="27">
      <c r="B27" s="9" t="inlineStr">
        <is>
          <t>Запросов к модели в месяц</t>
        </is>
      </c>
      <c r="C27" s="42">
        <f>C26*C8</f>
        <v/>
      </c>
      <c r="D27" s="42">
        <f>D26*D8</f>
        <v/>
      </c>
      <c r="E27" s="42">
        <f>E26*C8</f>
        <v/>
      </c>
      <c r="F27" s="42">
        <f>F26*D8</f>
        <v/>
      </c>
    </row>
    <row r="28">
      <c r="B28" s="9" t="inlineStr">
        <is>
          <t>Токенов генерации в месяц</t>
        </is>
      </c>
      <c r="C28" s="42">
        <f>C27*C9</f>
        <v/>
      </c>
      <c r="D28" s="42">
        <f>D27*D9</f>
        <v/>
      </c>
      <c r="E28" s="42">
        <f>E27*C9</f>
        <v/>
      </c>
      <c r="F28" s="42">
        <f>F27*D9</f>
        <v/>
      </c>
    </row>
    <row r="29">
      <c r="B29" s="9" t="inlineStr">
        <is>
          <t>Токенов судьи в месяц (эталонный набор + выборка трафика)</t>
        </is>
      </c>
      <c r="C29" s="42">
        <f>C12*C13*C14*C15+C27*C16*C14*C15</f>
        <v/>
      </c>
      <c r="D29" s="42">
        <f>D12*D13*D14*D15+D27*D16*D14*D15</f>
        <v/>
      </c>
      <c r="E29" s="42">
        <f>C12*C13*C14*C15+E27*C16*C14*C15</f>
        <v/>
      </c>
      <c r="F29" s="42">
        <f>D12*D13*D14*D15+F27*D16*D14*D15</f>
        <v/>
      </c>
    </row>
    <row r="30">
      <c r="B30" s="9" t="inlineStr">
        <is>
          <t>Генерация, ₽ в месяц</t>
        </is>
      </c>
      <c r="C30" s="42">
        <f>C28*$C$19/1000</f>
        <v/>
      </c>
      <c r="D30" s="42">
        <f>D28*$C$19/1000</f>
        <v/>
      </c>
      <c r="E30" s="42">
        <f>E28*$C$19/1000</f>
        <v/>
      </c>
      <c r="F30" s="42">
        <f>F28*$C$19/1000</f>
        <v/>
      </c>
    </row>
    <row r="31">
      <c r="B31" s="9" t="inlineStr">
        <is>
          <t>Судья качества, ₽ в месяц</t>
        </is>
      </c>
      <c r="C31" s="42">
        <f>C29*$C$19/1000</f>
        <v/>
      </c>
      <c r="D31" s="42">
        <f>D29*$C$19/1000</f>
        <v/>
      </c>
      <c r="E31" s="42">
        <f>E29*$C$19/1000</f>
        <v/>
      </c>
      <c r="F31" s="42">
        <f>F29*$C$19/1000</f>
        <v/>
      </c>
    </row>
    <row r="32">
      <c r="B32" s="11" t="inlineStr">
        <is>
          <t>Итого токены, ₽ в месяц</t>
        </is>
      </c>
      <c r="C32" s="62">
        <f>C30+C31</f>
        <v/>
      </c>
      <c r="D32" s="62">
        <f>D30+D31</f>
        <v/>
      </c>
      <c r="E32" s="62">
        <f>E30+E31</f>
        <v/>
      </c>
      <c r="F32" s="62">
        <f>F30+F31</f>
        <v/>
      </c>
    </row>
    <row r="33">
      <c r="B33" s="11" t="inlineStr">
        <is>
          <t>Итого токены, ₽ в год</t>
        </is>
      </c>
      <c r="C33" s="62">
        <f>C32*12</f>
        <v/>
      </c>
      <c r="D33" s="62">
        <f>D32*12</f>
        <v/>
      </c>
      <c r="E33" s="62">
        <f>E32*12</f>
        <v/>
      </c>
      <c r="F33" s="62">
        <f>F32*12</f>
        <v/>
      </c>
    </row>
    <row r="34">
      <c r="B34" s="9" t="inlineStr">
        <is>
          <t>Справочно: агент Этапа 2 добавит, ₽ в месяц</t>
        </is>
      </c>
      <c r="C34" s="42">
        <f>C25*C17*C18*$C$19/1000</f>
        <v/>
      </c>
      <c r="D34" s="42">
        <f>D25*D17*D18*$C$19/1000</f>
        <v/>
      </c>
      <c r="E34" s="42">
        <f>E25*C17*C18*$C$19/1000</f>
        <v/>
      </c>
      <c r="F34" s="42">
        <f>F25*D17*D18*$C$19/1000</f>
        <v/>
      </c>
    </row>
    <row r="35">
      <c r="B35" s="9" t="inlineStr">
        <is>
          <t>Пик, вопросов в секунду</t>
        </is>
      </c>
      <c r="C35" s="63">
        <f>C26/30*C10/3600</f>
        <v/>
      </c>
      <c r="D35" s="63">
        <f>D26/30*D10/3600</f>
        <v/>
      </c>
      <c r="E35" s="63">
        <f>E26/30*C10/3600</f>
        <v/>
      </c>
      <c r="F35" s="63">
        <f>F26/30*D10/3600</f>
        <v/>
      </c>
    </row>
    <row r="36">
      <c r="B36" s="9" t="inlineStr">
        <is>
          <t>Одновременно обрабатывается</t>
        </is>
      </c>
      <c r="C36" s="63">
        <f>C35*C11</f>
        <v/>
      </c>
      <c r="D36" s="63">
        <f>D35*D11</f>
        <v/>
      </c>
      <c r="E36" s="63">
        <f>E35*C11</f>
        <v/>
      </c>
      <c r="F36" s="63">
        <f>F35*D11</f>
        <v/>
      </c>
    </row>
    <row r="38">
      <c r="B38" s="9" t="inlineStr">
        <is>
          <t>Расчётная нагрузка sizing: 0,1 запроса/с на MVP и 1 запрос/с на тираже; должна быть не ниже строки «Пик».</t>
        </is>
      </c>
    </row>
  </sheetData>
  <mergeCells count="1">
    <mergeCell ref="A2:G2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2026-09-24T16:31:51Z</dcterms:created>
  <dcterms:modified xmlns:dcterms="http://purl.org/dc/terms/" xmlns:xsi="http://www.w3.org/2001/XMLSchema-instance" xsi:type="dcterms:W3CDTF">2026-09-24T16:31:51Z</dcterms:modified>
</cp:coreProperties>
</file>