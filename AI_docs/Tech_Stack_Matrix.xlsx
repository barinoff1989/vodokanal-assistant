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«ClickHouse для телеметрии: выбор объёмом не подтверждён» (расчёт объёма и замер в Postgres)</t>
        </is>
      </c>
      <c r="I16" s="9" t="inlineStr">
        <is>
          <t>Довод «в Postgres будет тормозить» замером не подтвердился (2 млн строк — агрегаты за секунды). ClickHouse остаётся в схеме развёртывания, но по объёму не нужен: решение об оставлении Postgres не принято.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Заложен в схеме развёртывания; переезд — смена DSN и диалекта запросов записи, не бизнес-логики. Если решено оставить Postgres, оценка строки (2–4 чел-дн) отпадает.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3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4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6" t="inlineStr">
        <is>
          <t>Цвет ячеек с оценкой:</t>
        </is>
      </c>
    </row>
    <row r="41">
      <c r="C41" s="27" t="n"/>
      <c r="D41" s="28" t="inlineStr">
        <is>
          <t>цифра прямо из ADR-600</t>
        </is>
      </c>
    </row>
    <row r="42">
      <c r="C42" s="29" t="n"/>
      <c r="D42" s="28" t="inlineStr">
        <is>
          <t>цифра блока ADR-600 (или его доля, распределённая автором) — подтвердить</t>
        </is>
      </c>
    </row>
    <row r="43">
      <c r="C43" s="30" t="n"/>
      <c r="D43" s="28" t="inlineStr">
        <is>
          <t>в ADR-600 нет, оценка автора — подтвердить</t>
        </is>
      </c>
    </row>
    <row r="44">
      <c r="C44" s="31" t="n"/>
      <c r="D44" s="28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SUM('Матрица'!$M$3:$M$38)</f>
        <v/>
      </c>
      <c r="C5" s="34">
        <f>SUM('Матрица'!$N$3:$N$38)</f>
        <v/>
      </c>
      <c r="D5" s="34">
        <f>B5/5</f>
        <v/>
      </c>
      <c r="E5" s="34">
        <f>C5/5</f>
        <v/>
      </c>
      <c r="F5" s="35">
        <f>SUMIF('Матрица'!$O$3:$O$38,"ADR-600",'Матрица'!$M$3:$M$38)</f>
        <v/>
      </c>
      <c r="G5" s="35">
        <f>SUMIF('Матрица'!$O$3:$O$38,"ADR-600",'Матрица'!$N$3:$N$38)</f>
        <v/>
      </c>
      <c r="H5" s="36">
        <f>SUMIF('Матрица'!$O$3:$O$38,"Из блока*",'Матрица'!$M$3:$M$38)</f>
        <v/>
      </c>
      <c r="I5" s="36">
        <f>SUMIF('Матрица'!$O$3:$O$38,"Из блока*",'Матрица'!$N$3:$N$38)</f>
        <v/>
      </c>
      <c r="J5" s="37">
        <f>SUMIF('Матрица'!$O$3:$O$38,"Оценка автора",'Матрица'!$M$3:$M$38)</f>
        <v/>
      </c>
      <c r="K5" s="37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4">
        <f>SUM('Матрица'!$S$3:$S$38)</f>
        <v/>
      </c>
      <c r="C6" s="34">
        <f>SUM('Матрица'!$T$3:$T$38)</f>
        <v/>
      </c>
      <c r="D6" s="34">
        <f>B6/5</f>
        <v/>
      </c>
      <c r="E6" s="34">
        <f>C6/5</f>
        <v/>
      </c>
      <c r="F6" s="35">
        <f>SUMIF('Матрица'!$U$3:$U$38,"ADR-600",'Матрица'!$S$3:$S$38)</f>
        <v/>
      </c>
      <c r="G6" s="35">
        <f>SUMIF('Матрица'!$U$3:$U$38,"ADR-600",'Матрица'!$T$3:$T$38)</f>
        <v/>
      </c>
      <c r="H6" s="36">
        <f>SUMIF('Матрица'!$U$3:$U$38,"Из блока*",'Матрица'!$S$3:$S$38)</f>
        <v/>
      </c>
      <c r="I6" s="36">
        <f>SUMIF('Матрица'!$U$3:$U$38,"Из блока*",'Матрица'!$T$3:$T$38)</f>
        <v/>
      </c>
      <c r="J6" s="37">
        <f>SUMIF('Матрица'!$U$3:$U$38,"Оценка автора",'Матрица'!$S$3:$S$38)</f>
        <v/>
      </c>
      <c r="K6" s="37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SUMIF('Матрица'!$O$3:$O$38,"Из блока ADR-600: P0",'Матрица'!$M$3:$M$38)</f>
        <v/>
      </c>
      <c r="E15" s="34">
        <f>SUMIF('Матрица'!$O$3:$O$38,"Из блока ADR-600: P0",'Матрица'!$N$3:$N$38)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SUMIF('Матрица'!$O$3:$O$38,"Из блока ADR-600: Согласования",'Матрица'!$M$3:$M$38)</f>
        <v/>
      </c>
      <c r="E16" s="34">
        <f>SUMIF('Матрица'!$O$3:$O$38,"Из блока ADR-600: Согласования",'Матрица'!$N$3:$N$38)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SUMIF('Матрица'!$O$3:$O$38,"Из блока ADR-600: Качество поиска и классификации",'Матрица'!$M$3:$M$38)</f>
        <v/>
      </c>
      <c r="E17" s="34">
        <f>SUMIF('Матрица'!$O$3:$O$38,"Из блока ADR-600: Качество поиска и классификации",'Матрица'!$N$3:$N$38)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SUMIF('Матрица'!$O$3:$O$38,"Из блока ADR-600: Основная разработка Этапа 2",'Матрица'!$M$3:$M$38)</f>
        <v/>
      </c>
      <c r="E18" s="34">
        <f>SUMIF('Матрица'!$O$3:$O$38,"Из блока ADR-600: Основная разработка Этапа 2",'Матрица'!$N$3:$N$38)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SUMIF('Матрица'!$O$3:$O$38,"Из блока ADR-600: Документация и ИБ",'Матрица'!$M$3:$M$38)</f>
        <v/>
      </c>
      <c r="E19" s="34">
        <f>SUMIF('Матрица'!$O$3:$O$38,"Из блока ADR-600: Документация и ИБ",'Матрица'!$N$3:$N$38)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SUMIF('Матрица'!$O$3:$O$38,"Из блока ADR-600: Анализ типов на живых данных",'Матрица'!$M$3:$M$38)</f>
        <v/>
      </c>
      <c r="E20" s="34">
        <f>SUMIF('Матрица'!$O$3:$O$38,"Из блока ADR-600: Анализ типов на живых данных",'Матрица'!$N$3:$N$38)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10</v>
      </c>
      <c r="C21" s="34" t="n">
        <v>16</v>
      </c>
      <c r="D21" s="34">
        <f>SUMIF('Матрица'!$O$3:$O$38,"Из блока ADR-600: Проверка Guardrails и провайдеров на живых данных",'Матрица'!$M$3:$M$38)</f>
        <v/>
      </c>
      <c r="E21" s="34">
        <f>SUMIF('Матрица'!$O$3:$O$38,"Из блока ADR-600: Проверка Guardrails и провайдеров на живых данных",'Матрица'!$N$3:$N$38)</f>
        <v/>
      </c>
      <c r="F21" s="44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≈19–28 недель (≈95–140 чел-дн); сумма блоков 94,5–141,5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2" t="n">
        <v>146</v>
      </c>
      <c r="E26" s="42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6" t="inlineStr">
        <is>
          <t>•</t>
        </is>
      </c>
      <c r="B8" s="47" t="inlineStr">
        <is>
          <t>Внешние зависимости</t>
        </is>
      </c>
      <c r="C8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3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4">
        <f>'Матрица'!M3</f>
        <v/>
      </c>
      <c r="E12" s="34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4">
        <f>'Матрица'!M4</f>
        <v/>
      </c>
      <c r="E13" s="34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4">
        <f>'Матрица'!M5</f>
        <v/>
      </c>
      <c r="E14" s="34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4">
        <f>'Матрица'!M6</f>
        <v/>
      </c>
      <c r="E15" s="34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4">
        <f>'Матрица'!M7</f>
        <v/>
      </c>
      <c r="E16" s="34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4">
        <f>'Матрица'!M8</f>
        <v/>
      </c>
      <c r="E17" s="34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4">
        <f>'Матрица'!M9</f>
        <v/>
      </c>
      <c r="E18" s="34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4">
        <f>'Матрица'!M10</f>
        <v/>
      </c>
      <c r="E19" s="34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4">
        <f>'Матрица'!M11</f>
        <v/>
      </c>
      <c r="E20" s="34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4">
        <f>'Матрица'!M12</f>
        <v/>
      </c>
      <c r="E21" s="34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4">
        <f>'Матрица'!M13</f>
        <v/>
      </c>
      <c r="E22" s="34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4">
        <f>'Матрица'!M14</f>
        <v/>
      </c>
      <c r="E23" s="34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4">
        <f>'Матрица'!M15</f>
        <v/>
      </c>
      <c r="E24" s="34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4">
        <f>'Матрица'!M16</f>
        <v/>
      </c>
      <c r="E25" s="34">
        <f>'Матрица'!N16</f>
        <v/>
      </c>
      <c r="F25" s="13">
        <f>'Матрица'!O16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MVP</t>
        </is>
      </c>
      <c r="D26" s="34">
        <f>'Матрица'!M17</f>
        <v/>
      </c>
      <c r="E26" s="34">
        <f>'Матрица'!N17</f>
        <v/>
      </c>
      <c r="F26" s="13">
        <f>'Матрица'!O17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Тираж</t>
        </is>
      </c>
      <c r="D27" s="34">
        <f>'Матрица'!S17</f>
        <v/>
      </c>
      <c r="E27" s="34">
        <f>'Матрица'!T17</f>
        <v/>
      </c>
      <c r="F27" s="13">
        <f>'Матрица'!U17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4">
        <f>'Матрица'!M18</f>
        <v/>
      </c>
      <c r="E28" s="34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4">
        <f>'Матрица'!M19</f>
        <v/>
      </c>
      <c r="E29" s="34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4">
        <f>'Матрица'!M20</f>
        <v/>
      </c>
      <c r="E30" s="34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4">
        <f>'Матрица'!M21</f>
        <v/>
      </c>
      <c r="E31" s="34">
        <f>'Матрица'!N21</f>
        <v/>
      </c>
      <c r="F31" s="18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4">
        <f>'Матрица'!M22</f>
        <v/>
      </c>
      <c r="E32" s="34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4">
        <f>'Матрица'!M23</f>
        <v/>
      </c>
      <c r="E33" s="34">
        <f>'Матрица'!N23</f>
        <v/>
      </c>
      <c r="F33" s="13">
        <f>'Матрица'!O23</f>
        <v/>
      </c>
    </row>
    <row r="34">
      <c r="A34" s="9">
        <f>'Матрица'!A24</f>
        <v/>
      </c>
      <c r="B34" s="9">
        <f>'Матрица'!C24</f>
        <v/>
      </c>
      <c r="C34" s="9" t="inlineStr">
        <is>
          <t>MVP</t>
        </is>
      </c>
      <c r="D34" s="34">
        <f>'Матрица'!M24</f>
        <v/>
      </c>
      <c r="E34" s="34">
        <f>'Матрица'!N24</f>
        <v/>
      </c>
      <c r="F34" s="13">
        <f>'Матрица'!O24</f>
        <v/>
      </c>
    </row>
    <row r="35">
      <c r="A35" s="9">
        <f>'Матрица'!A26</f>
        <v/>
      </c>
      <c r="B35" s="9">
        <f>'Матрица'!C26</f>
        <v/>
      </c>
      <c r="C35" s="9" t="inlineStr">
        <is>
          <t>MVP</t>
        </is>
      </c>
      <c r="D35" s="34">
        <f>'Матрица'!M26</f>
        <v/>
      </c>
      <c r="E35" s="34">
        <f>'Матрица'!N26</f>
        <v/>
      </c>
      <c r="F35" s="18">
        <f>'Матрица'!O26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4">
        <f>'Матрица'!M33</f>
        <v/>
      </c>
      <c r="E36" s="34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4">
        <f>'Матрица'!M34</f>
        <v/>
      </c>
      <c r="E37" s="34">
        <f>'Матрица'!N34</f>
        <v/>
      </c>
      <c r="F37" s="18">
        <f>'Матрица'!O34</f>
        <v/>
      </c>
    </row>
    <row r="38">
      <c r="A38" s="9">
        <f>'Матрица'!A35</f>
        <v/>
      </c>
      <c r="B38" s="9">
        <f>'Матрица'!C35</f>
        <v/>
      </c>
      <c r="C38" s="9" t="inlineStr">
        <is>
          <t>MVP</t>
        </is>
      </c>
      <c r="D38" s="34">
        <f>'Матрица'!M35</f>
        <v/>
      </c>
      <c r="E38" s="34">
        <f>'Матрица'!N35</f>
        <v/>
      </c>
      <c r="F38" s="18">
        <f>'Матрица'!O35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4">
        <f>'Матрица'!M37</f>
        <v/>
      </c>
      <c r="E39" s="34">
        <f>'Матрица'!N37</f>
        <v/>
      </c>
      <c r="F39" s="18">
        <f>'Матрица'!O37</f>
        <v/>
      </c>
    </row>
    <row r="40">
      <c r="A40" s="9">
        <f>'Матрица'!A38</f>
        <v/>
      </c>
      <c r="B40" s="9">
        <f>'Матрица'!C38</f>
        <v/>
      </c>
      <c r="C40" s="9" t="inlineStr">
        <is>
          <t>MVP</t>
        </is>
      </c>
      <c r="D40" s="34">
        <f>'Матрица'!M38</f>
        <v/>
      </c>
      <c r="E40" s="34">
        <f>'Матрица'!N38</f>
        <v/>
      </c>
      <c r="F40" s="18">
        <f>'Матрица'!O38</f>
        <v/>
      </c>
    </row>
    <row r="42">
      <c r="B42" s="43" t="inlineStr">
        <is>
          <t>Документы-источники</t>
        </is>
      </c>
    </row>
    <row r="43">
      <c r="B43" s="11" t="inlineStr">
        <is>
          <t>ADR-100</t>
        </is>
      </c>
      <c r="C43" s="9" t="inlineStr">
        <is>
          <t>Что сдано и что отложено; таблица «целевой компонент — замена на прототипе»</t>
        </is>
      </c>
    </row>
    <row r="44">
      <c r="B44" s="11" t="inlineStr">
        <is>
          <t>ADR-200</t>
        </is>
      </c>
      <c r="C44" s="9" t="inlineStr">
        <is>
          <t>Стек по слоям, альтернативы, сравнение Python/Go/Node.js</t>
        </is>
      </c>
    </row>
    <row r="45">
      <c r="B45" s="11" t="inlineStr">
        <is>
          <t>ADR-300</t>
        </is>
      </c>
      <c r="C45" s="9" t="inlineStr">
        <is>
          <t>Модели: классификация, эмбеддинги, реранкер, генерация, судья</t>
        </is>
      </c>
    </row>
    <row r="46">
      <c r="B46" s="11" t="inlineStr">
        <is>
          <t>ADR-400</t>
        </is>
      </c>
      <c r="C46" s="9" t="inlineStr">
        <is>
          <t>Безопасность по контурам, открытые пункты</t>
        </is>
      </c>
    </row>
    <row r="47">
      <c r="B47" s="11" t="inlineStr">
        <is>
          <t>ADR-500</t>
        </is>
      </c>
      <c r="C47" s="9" t="inlineStr">
        <is>
          <t>Ресурсы и стоимость: прототип, MVP, тираж</t>
        </is>
      </c>
    </row>
    <row r="48">
      <c r="B48" s="11" t="inlineStr">
        <is>
          <t>ADR-600</t>
        </is>
      </c>
      <c r="C48" s="9" t="inlineStr">
        <is>
          <t>План развития и укрупнённые оценки трудозатрат</t>
        </is>
      </c>
    </row>
    <row r="49">
      <c r="B49" s="11" t="inlineStr">
        <is>
          <t>C4_Deployment, C3/*</t>
        </is>
      </c>
      <c r="C49" s="9" t="inlineStr">
        <is>
          <t>Целевая схема развёртывания и компоненты</t>
        </is>
      </c>
    </row>
    <row r="50">
      <c r="B50" s="11" t="inlineStr">
        <is>
          <t>Код и docker-compose.yml</t>
        </is>
      </c>
      <c r="C50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3:F43"/>
    <mergeCell ref="C6:F6"/>
    <mergeCell ref="C7:F7"/>
    <mergeCell ref="C46:F46"/>
    <mergeCell ref="C47:F47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2026-09-24T14:35:19Z</dcterms:created>
  <dcterms:modified xmlns:dcterms="http://purl.org/dc/terms/" xmlns:xsi="http://www.w3.org/2001/XMLSchema-instance" xsi:type="dcterms:W3CDTF">2026-09-24T14:35:19Z</dcterms:modified>
</cp:coreProperties>
</file>