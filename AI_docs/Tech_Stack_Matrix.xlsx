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'Матрица'!$A$2:$V$38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4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/ ClickHouse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на машине с 15 ГБ памяти тесно;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ClickHouse;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(закрывает только ФИО)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(до 50 мс):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и LLM-судья в бюджет не укладываются,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≈0,6 с (ориентир 0,5 с).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(34 ГБ весов плюс запас под кэш).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 мс на запрос — с запасом укладывается в бюджет 100 мс.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4,25 ГБ, 210 мс на CPU (вдвое выше бюджета),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при бюджете 100 мс.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pgvector: не тянет фильтрацию по payload на нужном объёме. Milvus: тяжелее в эксплуатации при том же результате.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 + Redis)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PostgreSQL (слепки на прототипе, материализованное представление на MVP); Redis; клиент psycopg 3</t>
        </is>
      </c>
      <c r="F13" s="9" t="inlineStr">
        <is>
          <t>Слепки внешних систем в Postgres (пример Биллинга и ЛК: 200 счетов, 203 счётчика, 1323 начисления); профиль читается из них.</t>
        </is>
      </c>
      <c r="G13" s="9" t="inlineStr">
        <is>
          <t>Не формальный Feature Store (Feast/Tecton): материализованная таблица плюс быстрый слой Redis. Одну и ту же таблицу читают и офлайн-оценка, и онлайн-инференс — против расхождения обучения и обслуживания.</t>
        </is>
      </c>
      <c r="H13" s="9" t="inlineStr">
        <is>
          <t>ADR-200, раздел «Сравнение вариантов по слоям», подраздел «Почему кэш профиля — таблица и Redis, а не Feature Store»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(REST).</t>
        </is>
      </c>
      <c r="K13" s="9" t="inlineStr">
        <is>
          <t>Kubernetes CronJob → Postgres (материализованное представление) + Redis.</t>
        </is>
      </c>
      <c r="L13" s="9" t="inlineStr">
        <is>
          <t>Ответ читает готовый агрегат за O(1), без обращения к первичным системам; тот же примитив, что уже используется для резервного копирования.</t>
        </is>
      </c>
      <c r="M13" s="12" t="n">
        <v>5</v>
      </c>
      <c r="N13" s="12" t="n">
        <v>8</v>
      </c>
      <c r="O13" s="13" t="inlineStr">
        <is>
          <t>Оценка автора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(нагрузка на основную базу)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Одна база вместо двух на объёме одного стенда.</t>
        </is>
      </c>
      <c r="H15" s="9" t="inlineStr">
        <is>
          <t>ADR-200, раздел «Сравнение вариантов по слоям», подраздел «Почему PostgreSQL и Redis»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только для состояния и обращений;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14" t="inlineStr">
        <is>
          <t>Без изменений</t>
        </is>
      </c>
      <c r="Q15" s="15" t="n"/>
      <c r="R15" s="15" t="n"/>
      <c r="S15" s="16" t="n"/>
      <c r="T15" s="16" t="n"/>
      <c r="U15" s="15" t="n"/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ClickHouse (телеметрия)</t>
        </is>
      </c>
      <c r="D16" s="9" t="inlineStr">
        <is>
          <t>ClickHouse (MVP); LLM Gateway (события использования); Guardrails и судья (отчёты качества)</t>
        </is>
      </c>
      <c r="E16" s="9" t="inlineStr">
        <is>
          <t>Прототип — PostgreSQL (те же таблицы); MVP — ClickHouse</t>
        </is>
      </c>
      <c r="F16" s="9" t="inlineStr">
        <is>
          <t>Не развёрнут: те же таблицы (`usage_events`, `quality_reports`) лежат в Postgres; запись — best-effort, не роняет ответ.</t>
        </is>
      </c>
      <c r="G16" s="9" t="inlineStr">
        <is>
          <t>ClickHouse — целевой выбор против PostgreSQL (годится для стенда, при росте замедляется), TimescaleDB (остаётся строковым хранилищем) и OpenSearch (тяжелее без выигрыша). На прототипе ClickHouse не нужен: вторая СУБД ради объёма одного стенда.</t>
        </is>
      </c>
      <c r="H16" s="9" t="inlineStr">
        <is>
          <t>ADR-200, раздел «Сравнение вариантов по слоям», подраздел «Почему ClickHouse для телеметрии»</t>
        </is>
      </c>
      <c r="I16" s="9" t="inlineStr">
        <is>
          <t>Произвольная нарезка аналитики (по абоненту, типу, модели) на объёме MVP в Postgres будет тормозить.</t>
        </is>
      </c>
      <c r="J16" s="9" t="inlineStr">
        <is>
          <t>Аналитика токенов, стоимости и качества в ClickHouse, запись асинхронной пачкой.</t>
        </is>
      </c>
      <c r="K16" s="9" t="inlineStr">
        <is>
          <t>ClickHouse, StatefulSet + PVC.</t>
        </is>
      </c>
      <c r="L16" s="9" t="inlineStr">
        <is>
          <t>Целевое хранилище телеметрии; переезд — смена DSN и диалекта запросов записи, не бизнес-логики.</t>
        </is>
      </c>
      <c r="M16" s="12" t="n">
        <v>2</v>
      </c>
      <c r="N16" s="12" t="n">
        <v>4</v>
      </c>
      <c r="O16" s="13" t="inlineStr">
        <is>
          <t>Оценка автора</t>
        </is>
      </c>
      <c r="P16" s="14" t="inlineStr">
        <is>
          <t>Без изменений</t>
        </is>
      </c>
      <c r="Q16" s="15" t="n"/>
      <c r="R16" s="15" t="n"/>
      <c r="S16" s="16" t="n"/>
      <c r="T16" s="16" t="n"/>
      <c r="U16" s="15" t="n"/>
      <c r="V16" s="9" t="inlineStr">
        <is>
          <t>ADR-100; ADR-200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Индексация базы знаний (ETL)</t>
        </is>
      </c>
      <c r="D17" s="9" t="inlineStr">
        <is>
          <t>ETL индексации; Qdrant; embedding-inference; хранилище документов базы знаний</t>
        </is>
      </c>
      <c r="E17" s="9" t="inlineStr">
        <is>
          <t>Python-скрипт `scripts/reindex_kb.py` (сервис `reindex` в docker compose); MVP — K8s CronJob (Celery Beat)</t>
        </is>
      </c>
      <c r="F17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</t>
        </is>
      </c>
      <c r="G17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абонентам).</t>
        </is>
      </c>
      <c r="H17" s="9" t="inlineStr">
        <is>
          <t>ADR-200, раздел «Сравнение вариантов по слоям», подраздел «Почему индексация — задание по расписанию, а не Airflow»</t>
        </is>
      </c>
      <c r="I17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7" s="9" t="inlineStr">
        <is>
          <t>Ночное окно 02:00–05:00: забор документов, очистка, эмбеддинги на GPU, полный реиндекс.</t>
        </is>
      </c>
      <c r="K17" s="9" t="inlineStr">
        <is>
          <t>Kubernetes CronJob (Celery Beat), окно обслуживания, жёсткая граница по времени.</t>
        </is>
      </c>
      <c r="L17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7" s="12" t="n">
        <v>4</v>
      </c>
      <c r="N17" s="12" t="n">
        <v>6</v>
      </c>
      <c r="O17" s="13" t="inlineStr">
        <is>
          <t>Оценка автора</t>
        </is>
      </c>
      <c r="P17" s="9" t="inlineStr">
        <is>
          <t>Изоляция GPU между индексацией и онлайн-инференсом.</t>
        </is>
      </c>
      <c r="Q17" s="9" t="inlineStr">
        <is>
          <t>Приоритетные очереди либо отдельный GPU-пул.</t>
        </is>
      </c>
      <c r="R17" s="9" t="inlineStr">
        <is>
          <t>Появляется вторая постоянная нагрузка на GPU (генерация), и индексация не должна её задерживать.</t>
        </is>
      </c>
      <c r="S17" s="12" t="n">
        <v>3</v>
      </c>
      <c r="T17" s="12" t="n">
        <v>5</v>
      </c>
      <c r="U17" s="13" t="inlineStr">
        <is>
          <t>Оценка автора</t>
        </is>
      </c>
      <c r="V17" s="9" t="inlineStr">
        <is>
          <t>ADR-400; ADR-600; C4_Deployment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Агент операций записи (Orchestrator, HITL, аудит)</t>
        </is>
      </c>
      <c r="D18" s="9" t="inlineStr">
        <is>
          <t>Agent Orchestrator; Backend; Session State Store (Redis / PostgreSQL); LLM Gateway</t>
        </is>
      </c>
      <c r="E18" s="9" t="inlineStr">
        <is>
          <t>Python; собственный конечный автомат (`app/fsm.py`) на перечислениях; сессии в Redis / PostgreSQL</t>
        </is>
      </c>
      <c r="F18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8" s="9" t="inlineStr">
        <is>
          <t>LangGraph — кандидат, не выбран: усложнение ради возможностей, которые пока не нужны.</t>
        </is>
      </c>
      <c r="H18" s="9" t="inlineStr">
        <is>
          <t>ADR-200, раздел «Backend и оркестрация»: строка «Оркестрация агента» (свой FSM против LangGraph)</t>
        </is>
      </c>
      <c r="I18" s="9" t="inlineStr">
        <is>
          <t>Оценка function-calling у провайдеров РФ для роли агента — открытый вопрос.</t>
        </is>
      </c>
      <c r="J18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8" s="9" t="inlineStr">
        <is>
          <t>Свой FSM, Draft Validator, Audit Writer, Session State Store.</t>
        </is>
      </c>
      <c r="L18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9" t="inlineStr">
        <is>
          <t>Оценка function-calling для роли агента у провайдеров РФ.</t>
        </is>
      </c>
      <c r="Q18" s="9" t="inlineStr">
        <is>
          <t>Прогон эталонных сценариев через кандидатов.</t>
        </is>
      </c>
      <c r="R18" s="9" t="inlineStr">
        <is>
          <t>От результата зависит, можно ли доверить агенту роль на self-hosted модели.</t>
        </is>
      </c>
      <c r="S18" s="20" t="n">
        <v>5</v>
      </c>
      <c r="T18" s="20" t="n">
        <v>5</v>
      </c>
      <c r="U18" s="21" t="inlineStr">
        <is>
          <t>ADR-600</t>
        </is>
      </c>
      <c r="V18" s="9" t="inlineStr">
        <is>
          <t>ADR-100; ADR-200; ADR-400; ADR-600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Billing Adapter (запись в Биллинг)</t>
        </is>
      </c>
      <c r="D19" s="9" t="inlineStr">
        <is>
          <t>Billing Adapter; Биллинг (внешняя система); Agent Orchestrator (HITL Gate)</t>
        </is>
      </c>
      <c r="E19" s="9" t="inlineStr">
        <is>
          <t>Python; XML-RPC-клиент к API Биллинга; ключ идемпотентности</t>
        </is>
      </c>
      <c r="F19" s="9" t="inlineStr">
        <is>
          <t>Не реализован (запись отложена на Этап 2). Чтение идёт из слепка в Postgres.</t>
        </is>
      </c>
      <c r="G19" s="9" t="inlineStr">
        <is>
          <t>Прямой доступ к чужой БД запрещён: только через API владельца.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9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9" s="9" t="inlineStr">
        <is>
          <t>Запись показаний и операций в Биллинг через XML-RPC с ключом идемпотентности.</t>
        </is>
      </c>
      <c r="K19" s="9" t="inlineStr">
        <is>
          <t>Отдельный контейнер `Billing Adapter`, XML-RPC API Биллинга.</t>
        </is>
      </c>
      <c r="L19" s="9" t="inlineStr">
        <is>
          <t>Единственный разрешённый путь записи в Биллинг; повтор запроса не создаёт дубль.</t>
        </is>
      </c>
      <c r="M19" s="17" t="n">
        <v>4</v>
      </c>
      <c r="N19" s="17" t="n">
        <v>6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ADR-400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Сервис работы с обращениями</t>
        </is>
      </c>
      <c r="D20" s="9" t="inlineStr">
        <is>
          <t>Сервис работы с обращениями; Микросервис обращений и Диспетчерская (внешние); Agent Orchestrator; Postgres</t>
        </is>
      </c>
      <c r="E20" s="9" t="inlineStr">
        <is>
          <t>Python; на прототипе запись в таблицу Postgres, на Этапе 2 — HTTP API владельца (сигнатуры не получены)</t>
        </is>
      </c>
      <c r="F20" s="9" t="inlineStr">
        <is>
          <t>Обращение пишется в собственную таблицу Postgres, минуя Orchestrator (`app/inquiries/store.py`).</t>
        </is>
      </c>
      <c r="G20" s="9" t="inlineStr">
        <is>
          <t>Целевой путь — внешний микросервис обращений; на прототипе доступа к нему нет.</t>
        </is>
      </c>
      <c r="H20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20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20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20" s="9" t="inlineStr">
        <is>
          <t>Отдельный контейнер, Route Selector: emergency → Диспетчерская, остальные типы → микросервис.</t>
        </is>
      </c>
      <c r="L20" s="9" t="inlineStr">
        <is>
          <t>Обращения должны попадать в систему-владельца, откуда их читают подрядчики и конвейер дообучения.</t>
        </is>
      </c>
      <c r="M20" s="17" t="n">
        <v>3</v>
      </c>
      <c r="N20" s="17" t="n">
        <v>5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Document Generator (бланки заявлений)</t>
        </is>
      </c>
      <c r="D21" s="9" t="inlineStr">
        <is>
          <t>Document Generator; Backend (выдача бланка); S3 / MinIO (MVP)</t>
        </is>
      </c>
      <c r="E21" s="9" t="inlineStr">
        <is>
          <t>Прототип — Python: шаблоны бланков и HTML-лист на печать; MVP — PDF-библиотека (не выбрана) + S3 / MinIO</t>
        </is>
      </c>
      <c r="F21" s="9" t="inlineStr">
        <is>
          <t>Готовый бланк отдаётся HTML-листом для печати из каталога (семь образцов по ПП РФ № 644/776).</t>
        </is>
      </c>
      <c r="G21" s="9" t="inlineStr">
        <is>
          <t>PDF и S3/MinIO нужны только при путях записи — для консультации избыточны.</t>
        </is>
      </c>
      <c r="H21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1" s="9" t="inlineStr">
        <is>
          <t>Настоящие бланки заявлений не согласованы с владельцем — используются образцы.</t>
        </is>
      </c>
      <c r="J21" s="9" t="inlineStr">
        <is>
          <t>Рендер PDF из шаблона и слотов, хранение в объектном хранилище, ссылка с ограниченным сроком жизни.</t>
        </is>
      </c>
      <c r="K21" s="9" t="inlineStr">
        <is>
          <t>Генерация PDF (библиотека в ADR не выбрана) + S3 / MinIO.</t>
        </is>
      </c>
      <c r="L21" s="9" t="inlineStr">
        <is>
          <t>Документ, вложенный в диалог, должен быть файлом, а не страницей печати.</t>
        </is>
      </c>
      <c r="M21" s="17" t="n">
        <v>3</v>
      </c>
      <c r="N21" s="17" t="n">
        <v>4</v>
      </c>
      <c r="O21" s="18" t="inlineStr">
        <is>
          <t>Из блока ADR-600: Основная разработка Этапа 2</t>
        </is>
      </c>
      <c r="P21" s="14" t="inlineStr">
        <is>
          <t>Без изменений</t>
        </is>
      </c>
      <c r="Q21" s="15" t="n"/>
      <c r="R21" s="15" t="n"/>
      <c r="S21" s="16" t="n"/>
      <c r="T21" s="16" t="n"/>
      <c r="U21" s="15" t="n"/>
      <c r="V21" s="9" t="inlineStr">
        <is>
          <t>ADR-100; ADR-600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Оркестрация контейнеров</t>
        </is>
      </c>
      <c r="D22" s="9" t="inlineStr">
        <is>
          <t>Все контейнеры (Backend, LLM Gateway, Qdrant, Redis, Postgres, ClickHouse, ETL, GPU-сервисы)</t>
        </is>
      </c>
      <c r="E22" s="9" t="inlineStr">
        <is>
          <t>Прототип — Docker Compose на одной машине; MVP — Kubernetes (nginx Ingress, cert-manager)</t>
        </is>
      </c>
      <c r="F22" s="9" t="inlineStr">
        <is>
          <t>`docker compose` на одной машине: postgres, redis, qdrant, reindex, backend.</t>
        </is>
      </c>
      <c r="G22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H22" s="9" t="inlineStr">
        <is>
          <t>ADR-200, раздел «Backend и оркестрация»: строки «Оркестрация контейнеров» и «Оркестрация на прототипе»</t>
        </is>
      </c>
      <c r="I22" s="9" t="inlineStr">
        <is>
          <t>Целевая платформа (Kubernetes) пока только подразумевается, отдельного ADR нет.</t>
        </is>
      </c>
      <c r="J22" s="9" t="inlineStr">
        <is>
          <t>Kubernetes на собственном железе в закрытом контуре: пространства имён, Ingress, TLS-сертификаты.</t>
        </is>
      </c>
      <c r="K22" s="9" t="inlineStr">
        <is>
          <t>Kubernetes, nginx Ingress, cert-manager.</t>
        </is>
      </c>
      <c r="L22" s="9" t="inlineStr">
        <is>
          <t>Отказоустойчивость и обновления без остановки; требование целевого развёртывания.</t>
        </is>
      </c>
      <c r="M22" s="12" t="n">
        <v>10</v>
      </c>
      <c r="N22" s="12" t="n">
        <v>15</v>
      </c>
      <c r="O22" s="13" t="inlineStr">
        <is>
          <t>Оценка автора</t>
        </is>
      </c>
      <c r="P22" s="9" t="inlineStr">
        <is>
          <t>Формализация целевой инфраплатформы отдельным ADR.</t>
        </is>
      </c>
      <c r="Q22" s="9" t="inlineStr">
        <is>
          <t>—</t>
        </is>
      </c>
      <c r="R22" s="9" t="inlineStr">
        <is>
          <t>Kubernetes сейчас лишь подразумевается; для тиража нужна зафиксированная платформа, включая GPU-пулы.</t>
        </is>
      </c>
      <c r="S22" s="20" t="n">
        <v>2</v>
      </c>
      <c r="T22" s="20" t="n">
        <v>3</v>
      </c>
      <c r="U22" s="21" t="inlineStr">
        <is>
          <t>ADR-600</t>
        </is>
      </c>
      <c r="V22" s="9" t="inlineStr">
        <is>
          <t>ADR-200; ADR-600; C4_Deployment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Секреты и конфигурация</t>
        </is>
      </c>
      <c r="D23" s="9" t="inlineStr">
        <is>
          <t>Backend; LLM Gateway (ключи провайдеров); все контейнеры (конфигурация)</t>
        </is>
      </c>
      <c r="E23" s="9" t="inlineStr">
        <is>
          <t>Переменные окружения оболочки (передаются через Compose `${VAR}`); Vault dev-режим (опционально); MVP — Vault Agent Injector</t>
        </is>
      </c>
      <c r="F23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3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3" s="9" t="inlineStr">
        <is>
          <t>ADR-200, раздел «Секреты и конфигурация»; ADR-400 («Что добавляется в контуре MVP»)</t>
        </is>
      </c>
      <c r="I23" s="9" t="inlineStr">
        <is>
          <t>Dev-режим Vault сам по себе не безопаснее переменной окружения — это репетиция интеграции, а не защита.</t>
        </is>
      </c>
      <c r="J23" s="9" t="inlineStr">
        <is>
          <t>Vault Agent Injector: секреты попадают в под через sidecar.</t>
        </is>
      </c>
      <c r="K23" s="9" t="inlineStr">
        <is>
          <t>HashiCorp Vault в Kubernetes.</t>
        </is>
      </c>
      <c r="L23" s="9" t="inlineStr">
        <is>
          <t>Единый источник истины и отзыв доступа без пересборки образа.</t>
        </is>
      </c>
      <c r="M23" s="12" t="n">
        <v>3</v>
      </c>
      <c r="N23" s="12" t="n">
        <v>5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ADR-200; ADR-400</t>
        </is>
      </c>
    </row>
    <row r="24">
      <c r="A24" s="9" t="n">
        <v>22</v>
      </c>
      <c r="B24" s="10" t="inlineStr">
        <is>
          <t>Контейнер</t>
        </is>
      </c>
      <c r="C24" s="11" t="inlineStr">
        <is>
          <t>Наблюдаемость (метрики, логи, алерты)</t>
        </is>
      </c>
      <c r="D24" s="9" t="inlineStr">
        <is>
          <t>Backend и LLM Gateway (метрики); все контейнеры (логи); отдельные контейнеры Prometheus, Grafana, Loki, Alertmanager (MVP)</t>
        </is>
      </c>
      <c r="E24" s="9" t="inlineStr">
        <is>
          <t>prometheus-client (метрики на отдельном порту 9100); MVP — Prometheus, Grafana, Loki, Alertmanager</t>
        </is>
      </c>
      <c r="F24" s="9" t="inlineStr">
        <is>
          <t>Метрики Prometheus на отдельном порту, события потока в панели стенда. Дашбордов и сбора логов нет.</t>
        </is>
      </c>
      <c r="G24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4" s="9" t="inlineStr">
        <is>
          <t>ADR-200, раздел «Сравнение вариантов по слоям», подраздел «Почему Prometheus, Grafana, Loki и Alertmanager»</t>
        </is>
      </c>
      <c r="I24" s="9" t="inlineStr">
        <is>
          <t>Метрики есть, но собирать и показывать их нечему.</t>
        </is>
      </c>
      <c r="J24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4" s="9" t="inlineStr">
        <is>
          <t>Prometheus, Grafana, Loki, Alertmanager.</t>
        </is>
      </c>
      <c r="L24" s="9" t="inlineStr">
        <is>
          <t>Без этого нельзя измерять задержку ответа (P99), долю отказов и утечки ПДн на реальных абонентах.</t>
        </is>
      </c>
      <c r="M24" s="12" t="n">
        <v>5</v>
      </c>
      <c r="N24" s="12" t="n">
        <v>8</v>
      </c>
      <c r="O24" s="13" t="inlineStr">
        <is>
          <t>Оценка автора</t>
        </is>
      </c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C4_Deployment; ADR-500</t>
        </is>
      </c>
    </row>
    <row r="25">
      <c r="A25" s="9" t="n">
        <v>23</v>
      </c>
      <c r="B25" s="22" t="inlineStr">
        <is>
          <t>Связь</t>
        </is>
      </c>
      <c r="C25" s="11" t="inlineStr">
        <is>
          <t>Виджет ↔ Backend</t>
        </is>
      </c>
      <c r="D25" s="9" t="inlineStr">
        <is>
          <t>AI-виджет; Backend</t>
        </is>
      </c>
      <c r="E25" s="9" t="inlineStr">
        <is>
          <t>HTTP/JSON; поток SSE (`text/event-stream`); контракт OpenAPI 3</t>
        </is>
      </c>
      <c r="F25" s="9" t="inlineStr">
        <is>
          <t>HTTP + поток SSE; контракт описан в OpenAPI (`API_Spec.yaml`), идентификатор абонента — в метаданных запроса.</t>
        </is>
      </c>
      <c r="G25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5" s="9" t="inlineStr">
        <is>
          <t>ADR-200, раздел «Сравнение вариантов по слоям», подраздел «Протокол потока ответа: SSE»</t>
        </is>
      </c>
      <c r="I25" s="9" t="inlineStr">
        <is>
          <t>Идентификатор абонента передаёт сам клиент — для стенда допустимо, для продакшена нет.</t>
        </is>
      </c>
      <c r="J25" s="14" t="inlineStr">
        <is>
          <t>Без изменений</t>
        </is>
      </c>
      <c r="K25" s="15" t="n"/>
      <c r="L25" s="15" t="inlineStr">
        <is>
          <t>Протокол тот же; токен SSO — в строке про связь с ЛК.</t>
        </is>
      </c>
      <c r="M25" s="16" t="n"/>
      <c r="N25" s="16" t="n"/>
      <c r="O25" s="15" t="n"/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API_Spec.yaml</t>
        </is>
      </c>
    </row>
    <row r="26">
      <c r="A26" s="9" t="n">
        <v>24</v>
      </c>
      <c r="B26" s="22" t="inlineStr">
        <is>
          <t>Связь</t>
        </is>
      </c>
      <c r="C26" s="11" t="inlineStr">
        <is>
          <t>Backend ↔ Платформа ЛК (SSO)</t>
        </is>
      </c>
      <c r="D26" s="9" t="inlineStr">
        <is>
          <t>Backend; Платформа ЛК (внешняя)</t>
        </is>
      </c>
      <c r="E26" s="9" t="inlineStr">
        <is>
          <t>SSO личного кабинета (протокол не выбран); на прототипе — идентификатор в метаданных запроса</t>
        </is>
      </c>
      <c r="F26" s="9" t="inlineStr">
        <is>
          <t>Не подключена: абонент выбирается из справочника стенда.</t>
        </is>
      </c>
      <c r="G26" s="9" t="inlineStr">
        <is>
          <t>Сравнение не проводилось: интеграция с ЛК не начата, протокол SSO ещё не известен.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6" s="9" t="inlineStr">
        <is>
          <t>Настоящей SSO-сессии нет; Auth &amp; Session Middleware — целевой компонент.</t>
        </is>
      </c>
      <c r="J26" s="9" t="inlineStr">
        <is>
          <t>Профиль и сессия абонента берутся из личного кабинета при открытии диалога.</t>
        </is>
      </c>
      <c r="K26" s="9" t="inlineStr">
        <is>
          <t>SSO Платформы ЛК, Auth &amp; Session Middleware в Backend.</t>
        </is>
      </c>
      <c r="L26" s="9" t="inlineStr">
        <is>
          <t>Идентификатор абонента должен приходить от доверенной системы, а не от клиента.</t>
        </is>
      </c>
      <c r="M26" s="17" t="n">
        <v>3</v>
      </c>
      <c r="N26" s="17" t="n">
        <v>5</v>
      </c>
      <c r="O26" s="18" t="inlineStr">
        <is>
          <t>Из блока ADR-600: Основная разработка Этапа 2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2" t="inlineStr">
        <is>
          <t>Связь</t>
        </is>
      </c>
      <c r="C27" s="11" t="inlineStr">
        <is>
          <t>Backend ↔ Биллинг (чтение фактов)</t>
        </is>
      </c>
      <c r="D27" s="9" t="inlineStr">
        <is>
          <t>Backend; Кэш профиля (пересчёт из Биллинга); Биллинг (внешняя)</t>
        </is>
      </c>
      <c r="E27" s="9" t="inlineStr">
        <is>
          <t>XML-RPC API Биллинга; на прототипе — слепок в PostgreSQL</t>
        </is>
      </c>
      <c r="F27" s="9" t="inlineStr">
        <is>
          <t>Чтение из слепка Биллинга в Postgres; для лицевого счёта: долг, начисления, показания, поверка.</t>
        </is>
      </c>
      <c r="G27" s="9" t="inlineStr">
        <is>
          <t>Прямое чтение чужой БД запрещено: только через API владельца.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API Биллинга от владельца не получены.</t>
        </is>
      </c>
      <c r="J27" s="9" t="inlineStr">
        <is>
          <t>Свежие факты запрашиваются у Биллинга в момент вопроса.</t>
        </is>
      </c>
      <c r="K27" s="9" t="inlineStr">
        <is>
          <t>XML-RPC API Биллинга.</t>
        </is>
      </c>
      <c r="L27" s="9" t="inlineStr">
        <is>
          <t>Единственный способ доступа к Биллингу; обходит задержку кэша ради свежести.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ADR-400; ADR-600</t>
        </is>
      </c>
    </row>
    <row r="28">
      <c r="A28" s="9" t="n">
        <v>26</v>
      </c>
      <c r="B28" s="22" t="inlineStr">
        <is>
          <t>Связь</t>
        </is>
      </c>
      <c r="C28" s="11" t="inlineStr">
        <is>
          <t>Backend ↔ Диспетчерская</t>
        </is>
      </c>
      <c r="D28" s="9" t="inlineStr">
        <is>
          <t>Backend; Сервис работы с обращениями; Диспетчерская (внешняя)</t>
        </is>
      </c>
      <c r="E28" s="9" t="inlineStr">
        <is>
          <t>REST API Диспетчерской; на прототипе — локальные данные графика отключений</t>
        </is>
      </c>
      <c r="F28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8" s="9" t="inlineStr">
        <is>
          <t>Прямой доступ к чужой БД запрещён.</t>
        </is>
      </c>
      <c r="H2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8" s="9" t="inlineStr">
        <is>
          <t>Сигнатуры REST API Диспетчерской от владельца не получены.</t>
        </is>
      </c>
      <c r="J28" s="9" t="inlineStr">
        <is>
          <t>Чтение статуса аварийной заявки и зоны по API; запись аварийной заявки после подтверждения абонента.</t>
        </is>
      </c>
      <c r="K28" s="9" t="inlineStr">
        <is>
          <t>REST API Диспетчерской.</t>
        </is>
      </c>
      <c r="L28" s="9" t="inlineStr">
        <is>
          <t>Единственный разрешённый путь; аварии должны попадать сразу в диспетчерскую.</t>
        </is>
      </c>
      <c r="M28" s="20" t="n">
        <v>1</v>
      </c>
      <c r="N28" s="20" t="n">
        <v>2</v>
      </c>
      <c r="O28" s="21" t="inlineStr">
        <is>
          <t>ADR-600</t>
        </is>
      </c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ADR-100; ADR-400; ADR-600</t>
        </is>
      </c>
    </row>
    <row r="29">
      <c r="A29" s="9" t="n">
        <v>27</v>
      </c>
      <c r="B29" s="22" t="inlineStr">
        <is>
          <t>Связь</t>
        </is>
      </c>
      <c r="C29" s="11" t="inlineStr">
        <is>
          <t>Backend ↔ LLM Gateway</t>
        </is>
      </c>
      <c r="D29" s="9" t="inlineStr">
        <is>
          <t>Backend; LLM Gateway</t>
        </is>
      </c>
      <c r="E29" s="9" t="inlineStr">
        <is>
          <t>Вызов функции Python в одном процессе; на MVP — HTTP, OpenAI-совместимый протокол</t>
        </is>
      </c>
      <c r="F29" s="9" t="inlineStr">
        <is>
          <t>Вызов внутри одного процесса.</t>
        </is>
      </c>
      <c r="G29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9" s="9" t="inlineStr">
        <is>
          <t>ADR-200, раздел «LLM-хостинг», подраздел «Как устроен шлюз к модели»</t>
        </is>
      </c>
      <c r="I29" s="9" t="inlineStr">
        <is>
          <t>—</t>
        </is>
      </c>
      <c r="J29" s="9" t="inlineStr">
        <is>
          <t>Вызов по сети между контейнерами; OpenAI-совместимый протокол.</t>
        </is>
      </c>
      <c r="K29" s="9" t="inlineStr">
        <is>
          <t>HTTP внутри кластера.</t>
        </is>
      </c>
      <c r="L29" s="9" t="inlineStr">
        <is>
          <t>Следствие выноса шлюза в отдельный контейнер (см. строку LLM Gateway).</t>
        </is>
      </c>
      <c r="M29" s="19" t="n"/>
      <c r="N29" s="19" t="n"/>
      <c r="O29" s="9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2" t="inlineStr">
        <is>
          <t>Связь</t>
        </is>
      </c>
      <c r="C30" s="11" t="inlineStr">
        <is>
          <t>Backend ↔ Qdrant</t>
        </is>
      </c>
      <c r="D30" s="9" t="inlineStr">
        <is>
          <t>Backend; Qdrant</t>
        </is>
      </c>
      <c r="E30" s="9" t="inlineStr">
        <is>
          <t>qdrant-client по HTTP (порт 6333)</t>
        </is>
      </c>
      <c r="F30" s="9" t="inlineStr">
        <is>
          <t>HTTP (порт 6333); запись — отдельным сервисом, Backend только читает готовый индекс.</t>
        </is>
      </c>
      <c r="G30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30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30" s="9" t="inlineStr">
        <is>
          <t>—</t>
        </is>
      </c>
      <c r="J30" s="14" t="inlineStr">
        <is>
          <t>Без изменений</t>
        </is>
      </c>
      <c r="K30" s="15" t="n"/>
      <c r="L30" s="15" t="n"/>
      <c r="M30" s="16" t="n"/>
      <c r="N30" s="16" t="n"/>
      <c r="O30" s="15" t="n"/>
      <c r="P30" s="14" t="inlineStr">
        <is>
          <t>Без изменений</t>
        </is>
      </c>
      <c r="Q30" s="15" t="n"/>
      <c r="R30" s="15" t="n"/>
      <c r="S30" s="16" t="n"/>
      <c r="T30" s="16" t="n"/>
      <c r="U30" s="15" t="n"/>
      <c r="V30" s="9" t="inlineStr">
        <is>
          <t>ADR-200</t>
        </is>
      </c>
    </row>
    <row r="31">
      <c r="A31" s="9" t="n">
        <v>29</v>
      </c>
      <c r="B31" s="22" t="inlineStr">
        <is>
          <t>Связь</t>
        </is>
      </c>
      <c r="C31" s="11" t="inlineStr">
        <is>
          <t>LLM Gateway ↔ LLM Provider</t>
        </is>
      </c>
      <c r="D31" s="9" t="inlineStr">
        <is>
          <t>LLM Gateway; внешний LLM Provider</t>
        </is>
      </c>
      <c r="E31" s="9" t="inlineStr">
        <is>
          <t>HTTPS с проверкой сертификата; LiteLLM (OpenAI-совместимый интерфейс)</t>
        </is>
      </c>
      <c r="F31" s="9" t="inlineStr">
        <is>
          <t>HTTPS с проверкой сертификата: YandexGPT (сертификаты доступны). Проверка TLS не отключается никогда.</t>
        </is>
      </c>
      <c r="G31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1" s="9" t="inlineStr">
        <is>
          <t>ADR-400, раздел «Закрыто сейчас» (TLS не отключается); ADR-300, раздел 4</t>
        </is>
      </c>
      <c r="I31" s="9" t="inlineStr">
        <is>
          <t>Для GigaChat нужны корневые сертификаты НУЦ Минцифры — на машине прототипа их нет.</t>
        </is>
      </c>
      <c r="J31" s="9" t="inlineStr">
        <is>
          <t>Канал к GigaChat с корневыми сертификатами НУЦ в образе шлюза; автопереключение на резерв.</t>
        </is>
      </c>
      <c r="K31" s="9" t="inlineStr">
        <is>
          <t>HTTPS, сертификаты НУЦ Минцифры.</t>
        </is>
      </c>
      <c r="L31" s="9" t="inlineStr">
        <is>
          <t>Основной провайдер MVP — GigaChat Pro (входит в работу по строке LLM Provider).</t>
        </is>
      </c>
      <c r="M31" s="19" t="n"/>
      <c r="N31" s="19" t="n"/>
      <c r="O31" s="9" t="n"/>
      <c r="P31" s="9" t="inlineStr">
        <is>
          <t>Вызов собственной модели внутри закрытого контура.</t>
        </is>
      </c>
      <c r="Q31" s="9" t="inlineStr">
        <is>
          <t>OpenAI-совместимый интерфейс vLLM внутри сети водоканала.</t>
        </is>
      </c>
      <c r="R31" s="9" t="inlineStr">
        <is>
          <t>Данные не покидают периметр вообще, а не только территорию РФ.</t>
        </is>
      </c>
      <c r="S31" s="19" t="n"/>
      <c r="T31" s="19" t="n"/>
      <c r="U31" s="9" t="n"/>
      <c r="V31" s="9" t="inlineStr">
        <is>
          <t>ADR-400; ADR-300</t>
        </is>
      </c>
    </row>
    <row r="32">
      <c r="A32" s="9" t="n">
        <v>30</v>
      </c>
      <c r="B32" s="22" t="inlineStr">
        <is>
          <t>Связь</t>
        </is>
      </c>
      <c r="C32" s="11" t="inlineStr">
        <is>
          <t>Индексация → Qdrant</t>
        </is>
      </c>
      <c r="D32" s="9" t="inlineStr">
        <is>
          <t>ETL индексации; Qdrant</t>
        </is>
      </c>
      <c r="E32" s="9" t="inlineStr">
        <is>
          <t>qdrant-client: upsert в новую коллекцию + переключение алиаса (blue-green)</t>
        </is>
      </c>
      <c r="F32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2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2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2" s="9" t="inlineStr">
        <is>
          <t>—</t>
        </is>
      </c>
      <c r="J32" s="14" t="inlineStr">
        <is>
          <t>Без изменений</t>
        </is>
      </c>
      <c r="K32" s="15" t="n"/>
      <c r="L32" s="15" t="inlineStr">
        <is>
          <t>Механизм переносится как есть; окно 02:00–05:00 описано в строке про индексацию.</t>
        </is>
      </c>
      <c r="M32" s="16" t="n"/>
      <c r="N32" s="16" t="n"/>
      <c r="O32" s="15" t="n"/>
      <c r="P32" s="14" t="inlineStr">
        <is>
          <t>Без изменений</t>
        </is>
      </c>
      <c r="Q32" s="15" t="n"/>
      <c r="R32" s="15" t="n"/>
      <c r="S32" s="16" t="n"/>
      <c r="T32" s="16" t="n"/>
      <c r="U32" s="15" t="n"/>
      <c r="V32" s="9" t="inlineStr">
        <is>
          <t>ADR-200</t>
        </is>
      </c>
    </row>
    <row r="33">
      <c r="A33" s="9" t="n">
        <v>31</v>
      </c>
      <c r="B33" s="23" t="inlineStr">
        <is>
          <t>Сквозная работа</t>
        </is>
      </c>
      <c r="C33" s="11" t="inlineStr">
        <is>
          <t>Смета CAPEX/OPEX, NFR, допущения о нагрузке</t>
        </is>
      </c>
      <c r="D33" s="9" t="inlineStr">
        <is>
          <t>Все (сквозная работа); GPU-пул и кластер — как предмет сметы</t>
        </is>
      </c>
      <c r="E33" s="9" t="inlineStr">
        <is>
          <t>Расчётные таблицы (Capacity_Report.html), формулы sizing</t>
        </is>
      </c>
      <c r="F33" s="9" t="inlineStr">
        <is>
          <t>Есть прогнозная модель, не смета: числа не утверждены владельцем (открытый P0).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расчёт — Capacity_Report.html, стоимость — ADR-500</t>
        </is>
      </c>
      <c r="I33" s="9" t="inlineStr">
        <is>
          <t>Разброс оценок нагрузки — 25-кратный; без статистики ЛК и колл-центра смета остаётся диапазоном.</t>
        </is>
      </c>
      <c r="J33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K33" s="9" t="inlineStr">
        <is>
          <t>—</t>
        </is>
      </c>
      <c r="L33" s="9" t="inlineStr">
        <is>
          <t>Без этого нельзя защищать бюджет.</t>
        </is>
      </c>
      <c r="M33" s="24" t="n">
        <v>7.5</v>
      </c>
      <c r="N33" s="17" t="n">
        <v>10</v>
      </c>
      <c r="O33" s="18" t="inlineStr">
        <is>
          <t>Из блока ADR-600: P0</t>
        </is>
      </c>
      <c r="P33" s="14" t="inlineStr">
        <is>
          <t>Без изменений</t>
        </is>
      </c>
      <c r="Q33" s="15" t="n"/>
      <c r="R33" s="15" t="inlineStr">
        <is>
          <t>Пересчёт NFR под 90 000 абонентов уже сделан.</t>
        </is>
      </c>
      <c r="S33" s="16" t="n"/>
      <c r="T33" s="16" t="n"/>
      <c r="U33" s="15" t="n"/>
      <c r="V33" s="9" t="inlineStr">
        <is>
          <t>ADR-500; ADR-600</t>
        </is>
      </c>
    </row>
    <row r="34">
      <c r="A34" s="9" t="n">
        <v>32</v>
      </c>
      <c r="B34" s="23" t="inlineStr">
        <is>
          <t>Сквозная работа</t>
        </is>
      </c>
      <c r="C34" s="11" t="inlineStr">
        <is>
          <t>Внедрение ответов владельцев данных</t>
        </is>
      </c>
      <c r="D34" s="9" t="inlineStr">
        <is>
          <t>Backend (Triage, ответчики); Document Generator; Сервис работы с обращениями</t>
        </is>
      </c>
      <c r="E34" s="9" t="inlineStr">
        <is>
          <t>Справочники и тексты в коде и данных; не технология</t>
        </is>
      </c>
      <c r="F34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4" s="9" t="inlineStr">
        <is>
          <t>Календарный срок определяет владелец, не команда.</t>
        </is>
      </c>
      <c r="J34" s="9" t="inlineStr">
        <is>
          <t>Внедрение полученных ответов в справочники и тексты.</t>
        </is>
      </c>
      <c r="K34" s="9" t="inlineStr">
        <is>
          <t>—</t>
        </is>
      </c>
      <c r="L34" s="9" t="inlineStr">
        <is>
          <t>Разработки не требуют — требуют ответа от водоканала.</t>
        </is>
      </c>
      <c r="M34" s="17" t="n">
        <v>4</v>
      </c>
      <c r="N34" s="17" t="n">
        <v>8</v>
      </c>
      <c r="O34" s="18" t="inlineStr">
        <is>
          <t>Из блока ADR-600: Согласования</t>
        </is>
      </c>
      <c r="P34" s="14" t="inlineStr">
        <is>
          <t>Без изменений</t>
        </is>
      </c>
      <c r="Q34" s="15" t="n"/>
      <c r="R34" s="15" t="n"/>
      <c r="S34" s="16" t="n"/>
      <c r="T34" s="16" t="n"/>
      <c r="U34" s="15" t="n"/>
      <c r="V34" s="9" t="inlineStr">
        <is>
          <t>ADR-600</t>
        </is>
      </c>
    </row>
    <row r="35">
      <c r="A35" s="9" t="n">
        <v>33</v>
      </c>
      <c r="B35" s="23" t="inlineStr">
        <is>
          <t>Сквозная работа</t>
        </is>
      </c>
      <c r="C35" s="11" t="inlineStr">
        <is>
          <t>Документация и согласование ИБ</t>
        </is>
      </c>
      <c r="D35" s="9" t="inlineStr">
        <is>
          <t>Все (сквозная работа)</t>
        </is>
      </c>
      <c r="E35" s="9" t="inlineStr">
        <is>
          <t>Документы и диаграммы пакета сдачи</t>
        </is>
      </c>
      <c r="F35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5" s="9" t="inlineStr">
        <is>
          <t>Не применимо: это работа, а не выбор технологии.</t>
        </is>
      </c>
      <c r="H35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5" s="9" t="inlineStr">
        <is>
          <t>Календарный срок определяет служба ИБ водоканала.</t>
        </is>
      </c>
      <c r="J35" s="9" t="inlineStr">
        <is>
          <t>Полная сверка диаграмм с кодом, нагрузочные и security-сценарии, резюме для CTO.</t>
        </is>
      </c>
      <c r="K35" s="9" t="inlineStr">
        <is>
          <t>—</t>
        </is>
      </c>
      <c r="L35" s="9" t="inlineStr">
        <is>
          <t>Условие перехода к Этапу 2 — согласование ИБ (ADR-100/600).</t>
        </is>
      </c>
      <c r="M35" s="17" t="n">
        <v>5</v>
      </c>
      <c r="N35" s="24" t="n">
        <v>7.5</v>
      </c>
      <c r="O35" s="18" t="inlineStr">
        <is>
          <t>Из блока ADR-600: Документация и ИБ</t>
        </is>
      </c>
      <c r="P35" s="9" t="inlineStr">
        <is>
          <t>Согласование перечня триггеров self-hosted-перехода с ИБ.</t>
        </is>
      </c>
      <c r="Q35" s="9" t="inlineStr">
        <is>
          <t>—</t>
        </is>
      </c>
      <c r="R35" s="9" t="inlineStr">
        <is>
          <t>Триггеры должны быть согласованы до срабатывания, а не после.</t>
        </is>
      </c>
      <c r="S35" s="19" t="n"/>
      <c r="T35" s="19" t="n"/>
      <c r="U35" s="9" t="n"/>
      <c r="V35" s="9" t="inlineStr">
        <is>
          <t>ADR-400; ADR-600</t>
        </is>
      </c>
    </row>
    <row r="36">
      <c r="A36" s="9" t="n">
        <v>34</v>
      </c>
      <c r="B36" s="23" t="inlineStr">
        <is>
          <t>Сквозная работа</t>
        </is>
      </c>
      <c r="C36" s="11" t="inlineStr">
        <is>
          <t>Выбор семейства собственной модели и закупка GPU</t>
        </is>
      </c>
      <c r="D36" s="9" t="inlineStr">
        <is>
          <t>LLM Provider (собственная модель, тираж); LLM Gateway; GPU-пул</t>
        </is>
      </c>
      <c r="E36" s="9" t="inlineStr">
        <is>
          <t>Qwen2.5-32B INT4; vLLM; 1× GPU A100 80 ГБ</t>
        </is>
      </c>
      <c r="F36" s="9" t="inlineStr">
        <is>
          <t>Выбор Qwen2.5 сделан по репутации, на эталонном наборе не проверен.</t>
        </is>
      </c>
      <c r="G36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H36" s="9" t="inlineStr">
        <is>
          <t>ADR-300, раздел 4, подраздел «Сравнение семейства self-hosted-модели тиража»; стоимость — ADR-500</t>
        </is>
      </c>
      <c r="I36" s="9" t="inlineStr">
        <is>
          <t>Закупка оборудования — недели или месяцы, это снабжение, не разработка.</t>
        </is>
      </c>
      <c r="J36" s="14" t="inlineStr">
        <is>
          <t>Без изменений</t>
        </is>
      </c>
      <c r="K36" s="15" t="n"/>
      <c r="L36" s="15" t="n"/>
      <c r="M36" s="16" t="n"/>
      <c r="N36" s="16" t="n"/>
      <c r="O36" s="15" t="n"/>
      <c r="P36" s="9" t="inlineStr">
        <is>
          <t>Сравнение семейств на эталонном наборе; закупка и ввод GPU-сервера 1× A100 80 ГБ.</t>
        </is>
      </c>
      <c r="Q36" s="9" t="inlineStr">
        <is>
          <t>Qwen2.5-32B INT4, vLLM.</t>
        </is>
      </c>
      <c r="R36" s="9" t="inlineStr">
        <is>
          <t>Аренда исключена не по цене, а по триггеру: облачный GPU считается внешним сервисом.</t>
        </is>
      </c>
      <c r="S36" s="20" t="n">
        <v>3</v>
      </c>
      <c r="T36" s="20" t="n">
        <v>5</v>
      </c>
      <c r="U36" s="21" t="inlineStr">
        <is>
          <t>ADR-600</t>
        </is>
      </c>
      <c r="V36" s="9" t="inlineStr">
        <is>
          <t>ADR-300; ADR-500; ADR-600</t>
        </is>
      </c>
    </row>
    <row r="37">
      <c r="A37" s="9" t="n">
        <v>35</v>
      </c>
      <c r="B37" s="23" t="inlineStr">
        <is>
          <t>Сквозная работа</t>
        </is>
      </c>
      <c r="C37" s="11" t="inlineStr">
        <is>
          <t>Анализ всех типов обращений на живых данных и повторный выбор моделей</t>
        </is>
      </c>
      <c r="D37" s="9" t="inlineStr">
        <is>
          <t>Backend (Triage, ответчики); embedding-inference; reranker-inference; Qdrant (переиндексация при смене модели); LLM Gateway (пороги)</t>
        </is>
      </c>
      <c r="E37" s="9" t="inlineStr">
        <is>
          <t>Скрипты замера (`scripts/`), `golden_set/`, PII Filter; результат — Inquiry_Types.xlsx</t>
        </is>
      </c>
      <c r="F37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7" s="9" t="inlineStr">
        <is>
          <t>Не применимо: это работа, а не выбор технологии; сравнение моделей входит в её состав.</t>
        </is>
      </c>
      <c r="H37" s="9" t="inlineStr">
        <is>
          <t>ADR-300, разделы 1–2 (решение); ADR-600, раздел «Анализ типов обращений на живых данных»</t>
        </is>
      </c>
      <c r="I37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7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7" s="9" t="inlineStr">
        <is>
          <t>Скрипты замера (`scripts/measure_classifier.py`, `measure_search_models.py`), `golden_set/`, PII Filter; результат — обновлённый `Inquiry_Types.xlsx`.</t>
        </is>
      </c>
      <c r="L37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7" s="17" t="n">
        <v>13</v>
      </c>
      <c r="N37" s="17" t="n">
        <v>19</v>
      </c>
      <c r="O37" s="18" t="inlineStr">
        <is>
          <t>Из блока ADR-600: Анализ типов на живых данных</t>
        </is>
      </c>
      <c r="P37" s="9" t="inlineStr">
        <is>
          <t>Повторное решение по моделям для тиража по живой статистике MVP.</t>
        </is>
      </c>
      <c r="Q37" s="9" t="inlineStr">
        <is>
          <t>Те же скрипты замера; при смене модели — переиндексация и пересчёт порогов k-NN.</t>
        </is>
      </c>
      <c r="R37" s="9" t="inlineStr">
        <is>
          <t>Проверить, что модель MVP годится при нагрузке тиража; при необходимости пересчитать пороги и sizing.</t>
        </is>
      </c>
      <c r="S37" s="20" t="n">
        <v>2</v>
      </c>
      <c r="T37" s="20" t="n">
        <v>3</v>
      </c>
      <c r="U37" s="21" t="inlineStr">
        <is>
          <t>ADR-600</t>
        </is>
      </c>
      <c r="V37" s="9" t="inlineStr">
        <is>
          <t>ADR-300; ADR-600; Inquiry_Types.xlsx</t>
        </is>
      </c>
    </row>
    <row r="38">
      <c r="A38" s="9" t="n">
        <v>36</v>
      </c>
      <c r="B38" s="23" t="inlineStr">
        <is>
          <t>Сквозная работа</t>
        </is>
      </c>
      <c r="C38" s="11" t="inlineStr">
        <is>
          <t>Проверка на живых данных: Guardrails и выбор провайдера (YandexGPT, GigaChat)</t>
        </is>
      </c>
      <c r="D38" s="9" t="inlineStr">
        <is>
          <t>LLM Gateway; Guardrails; LLM Provider (YandexGPT, GigaChat); Backend; PII Filter</t>
        </is>
      </c>
      <c r="E38" s="9" t="inlineStr">
        <is>
          <t>Скрипты замера (`scripts/`), судья качества, метрики Prometheus, LiteLLM Router (цепочки переключения), PII Filter</t>
        </is>
      </c>
      <c r="F38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8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8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8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8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8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8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</t>
        </is>
      </c>
      <c r="M38" s="17" t="n">
        <v>10</v>
      </c>
      <c r="N38" s="17" t="n">
        <v>16</v>
      </c>
      <c r="O38" s="18" t="inlineStr">
        <is>
          <t>Из блока ADR-600: Проверка Guardrails и провайдеров на живых данных</t>
        </is>
      </c>
      <c r="P38" s="14" t="inlineStr">
        <is>
          <t>Без изменений</t>
        </is>
      </c>
      <c r="Q38" s="15" t="n"/>
      <c r="R38" s="15" t="n"/>
      <c r="S38" s="16" t="n"/>
      <c r="T38" s="16" t="n"/>
      <c r="U38" s="15" t="n"/>
      <c r="V38" s="9" t="inlineStr">
        <is>
          <t>ADR-300; ADR-400; ADR-600</t>
        </is>
      </c>
    </row>
    <row r="40">
      <c r="C40" s="25" t="inlineStr">
        <is>
          <t>Цвет ячеек с оценкой:</t>
        </is>
      </c>
    </row>
    <row r="41">
      <c r="C41" s="26" t="n"/>
      <c r="D41" s="27" t="inlineStr">
        <is>
          <t>цифра прямо из ADR-600</t>
        </is>
      </c>
    </row>
    <row r="42">
      <c r="C42" s="28" t="n"/>
      <c r="D42" s="27" t="inlineStr">
        <is>
          <t>цифра блока ADR-600 (или его доля, распределённая автором) — подтвердить</t>
        </is>
      </c>
    </row>
    <row r="43">
      <c r="C43" s="29" t="n"/>
      <c r="D43" s="27" t="inlineStr">
        <is>
          <t>в ADR-600 нет, оценка автора — подтвердить</t>
        </is>
      </c>
    </row>
    <row r="44">
      <c r="C44" s="30" t="n"/>
      <c r="D44" s="27" t="inlineStr">
        <is>
          <t>изменений на этом этапе нет</t>
        </is>
      </c>
    </row>
  </sheetData>
  <autoFilter ref="A2:V38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1" t="inlineStr">
        <is>
          <t>Стоимость доработок по контурам</t>
        </is>
      </c>
    </row>
    <row r="2">
      <c r="A2" s="32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3">
        <f>SUM('Матрица'!$M$3:$M$38)</f>
        <v/>
      </c>
      <c r="C5" s="33">
        <f>SUM('Матрица'!$N$3:$N$38)</f>
        <v/>
      </c>
      <c r="D5" s="33">
        <f>B5/5</f>
        <v/>
      </c>
      <c r="E5" s="33">
        <f>C5/5</f>
        <v/>
      </c>
      <c r="F5" s="34">
        <f>SUMIF('Матрица'!$O$3:$O$38,"ADR-600",'Матрица'!$M$3:$M$38)</f>
        <v/>
      </c>
      <c r="G5" s="34">
        <f>SUMIF('Матрица'!$O$3:$O$38,"ADR-600",'Матрица'!$N$3:$N$38)</f>
        <v/>
      </c>
      <c r="H5" s="35">
        <f>SUMIF('Матрица'!$O$3:$O$38,"Из блока*",'Матрица'!$M$3:$M$38)</f>
        <v/>
      </c>
      <c r="I5" s="35">
        <f>SUMIF('Матрица'!$O$3:$O$38,"Из блока*",'Матрица'!$N$3:$N$38)</f>
        <v/>
      </c>
      <c r="J5" s="36">
        <f>SUMIF('Матрица'!$O$3:$O$38,"Оценка автора",'Матрица'!$M$3:$M$38)</f>
        <v/>
      </c>
      <c r="K5" s="36">
        <f>SUMIF('Матрица'!$O$3:$O$38,"Оценка автора",'Матрица'!$N$3:$N$38)</f>
        <v/>
      </c>
    </row>
    <row r="6">
      <c r="A6" s="11" t="inlineStr">
        <is>
          <t>Тираж — 90 000 абонентов</t>
        </is>
      </c>
      <c r="B6" s="33">
        <f>SUM('Матрица'!$S$3:$S$38)</f>
        <v/>
      </c>
      <c r="C6" s="33">
        <f>SUM('Матрица'!$T$3:$T$38)</f>
        <v/>
      </c>
      <c r="D6" s="33">
        <f>B6/5</f>
        <v/>
      </c>
      <c r="E6" s="33">
        <f>C6/5</f>
        <v/>
      </c>
      <c r="F6" s="34">
        <f>SUMIF('Матрица'!$U$3:$U$38,"ADR-600",'Матрица'!$S$3:$S$38)</f>
        <v/>
      </c>
      <c r="G6" s="34">
        <f>SUMIF('Матрица'!$U$3:$U$38,"ADR-600",'Матрица'!$T$3:$T$38)</f>
        <v/>
      </c>
      <c r="H6" s="35">
        <f>SUMIF('Матрица'!$U$3:$U$38,"Из блока*",'Матрица'!$S$3:$S$38)</f>
        <v/>
      </c>
      <c r="I6" s="35">
        <f>SUMIF('Матрица'!$U$3:$U$38,"Из блока*",'Матрица'!$T$3:$T$38)</f>
        <v/>
      </c>
      <c r="J6" s="36">
        <f>SUMIF('Матрица'!$U$3:$U$38,"Оценка автора",'Матрица'!$S$3:$S$38)</f>
        <v/>
      </c>
      <c r="K6" s="36">
        <f>SUMIF('Матрица'!$U$3:$U$38,"Оценка автора",'Матрица'!$T$3:$T$38)</f>
        <v/>
      </c>
    </row>
    <row r="7">
      <c r="A7" s="11" t="inlineStr">
        <is>
          <t>Итого</t>
        </is>
      </c>
      <c r="B7" s="37">
        <f>SUM(B5:B6)</f>
        <v/>
      </c>
      <c r="C7" s="37">
        <f>SUM(C5:C6)</f>
        <v/>
      </c>
      <c r="D7" s="37">
        <f>SUM(D5:D6)</f>
        <v/>
      </c>
      <c r="E7" s="37">
        <f>SUM(E5:E6)</f>
        <v/>
      </c>
      <c r="F7" s="37">
        <f>SUM(F5:F6)</f>
        <v/>
      </c>
      <c r="G7" s="37">
        <f>SUM(G5:G6)</f>
        <v/>
      </c>
      <c r="H7" s="37">
        <f>SUM(H5:H6)</f>
        <v/>
      </c>
      <c r="I7" s="37">
        <f>SUM(I5:I6)</f>
        <v/>
      </c>
      <c r="J7" s="37">
        <f>SUM(J5:J6)</f>
        <v/>
      </c>
      <c r="K7" s="37">
        <f>SUM(K5:K6)</f>
        <v/>
      </c>
    </row>
    <row r="8">
      <c r="A8" s="32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8" t="n"/>
      <c r="C9" s="39" t="n"/>
      <c r="D9" s="40" t="n"/>
    </row>
    <row r="10">
      <c r="A10" s="9" t="inlineStr">
        <is>
          <t>Стоимость доработок MVP, ₽ (мин — макс)</t>
        </is>
      </c>
      <c r="B10" s="38" t="n"/>
      <c r="C10" s="39" t="n"/>
      <c r="D10" s="41">
        <f>IF($D$9="","",B5*$D$9)</f>
        <v/>
      </c>
      <c r="E10" s="41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8" t="n"/>
      <c r="C11" s="39" t="n"/>
      <c r="D11" s="41">
        <f>IF($D$9="","",B6*$D$9)</f>
        <v/>
      </c>
      <c r="E11" s="41">
        <f>IF($D$9="","",C6*$D$9)</f>
        <v/>
      </c>
    </row>
    <row r="13">
      <c r="A13" s="42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3" t="n">
        <v>7.5</v>
      </c>
      <c r="C15" s="33" t="n">
        <v>10</v>
      </c>
      <c r="D15" s="33">
        <f>SUMIF('Матрица'!$O$3:$O$38,"Из блока ADR-600: P0",'Матрица'!$M$3:$M$38)</f>
        <v/>
      </c>
      <c r="E15" s="33">
        <f>SUMIF('Матрица'!$O$3:$O$38,"Из блока ADR-600: P0",'Матрица'!$N$3:$N$38)</f>
        <v/>
      </c>
      <c r="F15" s="43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3" t="n">
        <v>4</v>
      </c>
      <c r="C16" s="33" t="n">
        <v>8</v>
      </c>
      <c r="D16" s="33">
        <f>SUMIF('Матрица'!$O$3:$O$38,"Из блока ADR-600: Согласования",'Матрица'!$M$3:$M$38)</f>
        <v/>
      </c>
      <c r="E16" s="33">
        <f>SUMIF('Матрица'!$O$3:$O$38,"Из блока ADR-600: Согласования",'Матрица'!$N$3:$N$38)</f>
        <v/>
      </c>
      <c r="F16" s="43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3" t="n">
        <v>35</v>
      </c>
      <c r="C17" s="33" t="n">
        <v>51</v>
      </c>
      <c r="D17" s="33">
        <f>SUMIF('Матрица'!$O$3:$O$38,"Из блока ADR-600: Качество поиска и классификации",'Матрица'!$M$3:$M$38)</f>
        <v/>
      </c>
      <c r="E17" s="33">
        <f>SUMIF('Матрица'!$O$3:$O$38,"Из блока ADR-600: Качество поиска и классификации",'Матрица'!$N$3:$N$38)</f>
        <v/>
      </c>
      <c r="F17" s="43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3" t="n">
        <v>20</v>
      </c>
      <c r="C18" s="33" t="n">
        <v>30</v>
      </c>
      <c r="D18" s="33">
        <f>SUMIF('Матрица'!$O$3:$O$38,"Из блока ADR-600: Основная разработка Этапа 2",'Матрица'!$M$3:$M$38)</f>
        <v/>
      </c>
      <c r="E18" s="33">
        <f>SUMIF('Матрица'!$O$3:$O$38,"Из блока ADR-600: Основная разработка Этапа 2",'Матрица'!$N$3:$N$38)</f>
        <v/>
      </c>
      <c r="F18" s="43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3" t="n">
        <v>5</v>
      </c>
      <c r="C19" s="33" t="n">
        <v>7.5</v>
      </c>
      <c r="D19" s="33">
        <f>SUMIF('Матрица'!$O$3:$O$38,"Из блока ADR-600: Документация и ИБ",'Матрица'!$M$3:$M$38)</f>
        <v/>
      </c>
      <c r="E19" s="33">
        <f>SUMIF('Матрица'!$O$3:$O$38,"Из блока ADR-600: Документация и ИБ",'Матрица'!$N$3:$N$38)</f>
        <v/>
      </c>
      <c r="F19" s="43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3" t="n">
        <v>13</v>
      </c>
      <c r="C20" s="33" t="n">
        <v>19</v>
      </c>
      <c r="D20" s="33">
        <f>SUMIF('Матрица'!$O$3:$O$38,"Из блока ADR-600: Анализ типов на живых данных",'Матрица'!$M$3:$M$38)</f>
        <v/>
      </c>
      <c r="E20" s="33">
        <f>SUMIF('Матрица'!$O$3:$O$38,"Из блока ADR-600: Анализ типов на живых данных",'Матрица'!$N$3:$N$38)</f>
        <v/>
      </c>
      <c r="F20" s="43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3" t="n">
        <v>10</v>
      </c>
      <c r="C21" s="33" t="n">
        <v>16</v>
      </c>
      <c r="D21" s="33">
        <f>SUMIF('Матрица'!$O$3:$O$38,"Из блока ADR-600: Проверка Guardrails и провайдеров на живых данных",'Матрица'!$M$3:$M$38)</f>
        <v/>
      </c>
      <c r="E21" s="33">
        <f>SUMIF('Матрица'!$O$3:$O$38,"Из блока ADR-600: Проверка Guardrails и провайдеров на живых данных",'Матрица'!$N$3:$N$38)</f>
        <v/>
      </c>
      <c r="F21" s="43">
        <f>IF(AND(D21=B21,E21=C21),"да","НЕТ")</f>
        <v/>
      </c>
      <c r="G21" s="9" t="inlineStr">
        <is>
          <t>10–16 чел-дн (ADR-600): выборка 1–2, Guardrails 4–6, сравнение провайдеров 4–6, решение 1–2</t>
        </is>
      </c>
    </row>
    <row r="22">
      <c r="A22" s="11" t="inlineStr">
        <is>
          <t>Итого по блокам</t>
        </is>
      </c>
      <c r="B22" s="37">
        <f>SUM(B15:B21)</f>
        <v/>
      </c>
      <c r="C22" s="37">
        <f>SUM(C15:C21)</f>
        <v/>
      </c>
      <c r="D22" s="37">
        <f>SUM(D15:D21)</f>
        <v/>
      </c>
      <c r="E22" s="37">
        <f>SUM(E15:E21)</f>
        <v/>
      </c>
      <c r="F22" s="44">
        <f>IF(AND(D22=B22,E22=C22),"да","НЕТ")</f>
        <v/>
      </c>
      <c r="G22" s="9" t="inlineStr">
        <is>
          <t>ADR-600 называет итог ≈19–28 недель (≈95–140 чел-дн); сумма блоков 94,5–141,5 — округление в самом ADR-600</t>
        </is>
      </c>
    </row>
    <row r="24">
      <c r="A24" s="42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≈146 ₽/мес при базовом сценарии (10% визитов, 30% до модели) — ≈1 698 ₽/мес при максимальном (50%, 70%)</t>
        </is>
      </c>
      <c r="D26" s="41" t="n">
        <v>146</v>
      </c>
      <c r="E26" s="41" t="n">
        <v>1698</v>
      </c>
      <c r="F26" s="9" t="inlineStr">
        <is>
          <t>₽/мес</t>
        </is>
      </c>
      <c r="G26" s="9" t="inlineStr">
        <is>
          <t>ADR-500</t>
        </is>
      </c>
    </row>
    <row r="27">
      <c r="A27" s="11" t="inlineStr">
        <is>
          <t>MVP</t>
        </is>
      </c>
      <c r="B27" s="9" t="inlineStr">
        <is>
          <t>GPU-сервер под эмбеддинги и реранкер</t>
        </is>
      </c>
      <c r="C27" s="9" t="inlineStr">
        <is>
          <t>Не оценён отдельной строкой сметы</t>
        </is>
      </c>
      <c r="D27" s="41" t="n"/>
      <c r="E27" s="41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MVP</t>
        </is>
      </c>
      <c r="B28" s="9" t="inlineStr">
        <is>
          <t>Kubernetes-кластер, хранилища, наблюдаемость (железо, размещение, обслуживание)</t>
        </is>
      </c>
      <c r="C28" s="9" t="inlineStr">
        <is>
          <t>Не оценены</t>
        </is>
      </c>
      <c r="D28" s="41" t="n"/>
      <c r="E28" s="41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Тираж</t>
        </is>
      </c>
      <c r="B29" s="9" t="inlineStr">
        <is>
          <t>Карта A100 80 ГБ (покупка)</t>
        </is>
      </c>
      <c r="C29" s="9" t="inlineStr">
        <is>
          <t>OEM ≈927 000 ₽; оригинал/сертифицированная ≈2 368 080 ₽ (аренда 35–50 тыс. ₽/мес исключена триггером)</t>
        </is>
      </c>
      <c r="D29" s="41" t="n">
        <v>927000</v>
      </c>
      <c r="E29" s="41" t="n">
        <v>2368080</v>
      </c>
      <c r="F29" s="9" t="inlineStr">
        <is>
          <t>₽</t>
        </is>
      </c>
      <c r="G29" s="9" t="inlineStr">
        <is>
          <t>ADR-500</t>
        </is>
      </c>
    </row>
    <row r="30">
      <c r="A30" s="11" t="inlineStr">
        <is>
          <t>Тираж</t>
        </is>
      </c>
      <c r="B30" s="9" t="inlineStr">
        <is>
          <t>Сервер-хост, электричество, размещение, обслуживание GPU</t>
        </is>
      </c>
      <c r="C30" s="9" t="inlineStr">
        <is>
          <t>Не оценены</t>
        </is>
      </c>
      <c r="D30" s="41" t="n"/>
      <c r="E30" s="41" t="n"/>
      <c r="F30" s="9" t="inlineStr">
        <is>
          <t>₽</t>
        </is>
      </c>
      <c r="G30" s="9" t="inlineStr">
        <is>
          <t>ADR-500 (открытый пункт)</t>
        </is>
      </c>
    </row>
    <row r="32">
      <c r="A32" s="32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1" t="inlineStr">
        <is>
          <t>Источники и допущения</t>
        </is>
      </c>
    </row>
    <row r="3" ht="30" customHeight="1">
      <c r="A3" s="45" t="inlineStr">
        <is>
          <t>•</t>
        </is>
      </c>
      <c r="B3" s="46" t="inlineStr">
        <is>
          <t>Единица стоимости</t>
        </is>
      </c>
      <c r="C3" s="47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5" t="inlineStr">
        <is>
          <t>•</t>
        </is>
      </c>
      <c r="B4" s="46" t="inlineStr">
        <is>
          <t>Что сравнивается</t>
        </is>
      </c>
      <c r="C4" s="47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5" t="inlineStr">
        <is>
          <t>•</t>
        </is>
      </c>
      <c r="B5" s="46" t="inlineStr">
        <is>
          <t>Оценки, которые нужно подтвердить</t>
        </is>
      </c>
      <c r="C5" s="47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5" t="inlineStr">
        <is>
          <t>•</t>
        </is>
      </c>
      <c r="B6" s="46" t="inlineStr">
        <is>
          <t>Тираж: расхождение в ADR-600</t>
        </is>
      </c>
      <c r="C6" s="47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45" customHeight="1">
      <c r="A7" s="45" t="inlineStr">
        <is>
          <t>•</t>
        </is>
      </c>
      <c r="B7" s="46" t="inlineStr">
        <is>
          <t>Нагрузка и деньги</t>
        </is>
      </c>
      <c r="C7" s="47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</t>
        </is>
      </c>
    </row>
    <row r="8" ht="30" customHeight="1">
      <c r="A8" s="45" t="inlineStr">
        <is>
          <t>•</t>
        </is>
      </c>
      <c r="B8" s="46" t="inlineStr">
        <is>
          <t>Внешние зависимости</t>
        </is>
      </c>
      <c r="C8" s="47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0">
      <c r="B10" s="42" t="inlineStr">
        <is>
          <t>Ячейки с оценкой автора — подтвердить</t>
        </is>
      </c>
    </row>
    <row r="11">
      <c r="A11" s="5" t="inlineStr">
        <is>
          <t>№</t>
        </is>
      </c>
      <c r="B11" s="5" t="inlineStr">
        <is>
          <t>Контейнер / связь</t>
        </is>
      </c>
      <c r="C11" s="5" t="inlineStr">
        <is>
          <t>Контур</t>
        </is>
      </c>
      <c r="D11" s="5" t="inlineStr">
        <is>
          <t>Мин</t>
        </is>
      </c>
      <c r="E11" s="5" t="inlineStr">
        <is>
          <t>Макс</t>
        </is>
      </c>
      <c r="F11" s="5" t="inlineStr">
        <is>
          <t>Основа оценки</t>
        </is>
      </c>
    </row>
    <row r="12">
      <c r="A12" s="9">
        <f>'Матрица'!A3</f>
        <v/>
      </c>
      <c r="B12" s="9">
        <f>'Матрица'!C3</f>
        <v/>
      </c>
      <c r="C12" s="9" t="inlineStr">
        <is>
          <t>MVP</t>
        </is>
      </c>
      <c r="D12" s="33">
        <f>'Матрица'!M3</f>
        <v/>
      </c>
      <c r="E12" s="33">
        <f>'Матрица'!N3</f>
        <v/>
      </c>
      <c r="F12" s="13">
        <f>'Матрица'!O3</f>
        <v/>
      </c>
    </row>
    <row r="13">
      <c r="A13" s="9">
        <f>'Матрица'!A4</f>
        <v/>
      </c>
      <c r="B13" s="9">
        <f>'Матрица'!C4</f>
        <v/>
      </c>
      <c r="C13" s="9" t="inlineStr">
        <is>
          <t>MVP</t>
        </is>
      </c>
      <c r="D13" s="33">
        <f>'Матрица'!M4</f>
        <v/>
      </c>
      <c r="E13" s="33">
        <f>'Матрица'!N4</f>
        <v/>
      </c>
      <c r="F13" s="18">
        <f>'Матрица'!O4</f>
        <v/>
      </c>
    </row>
    <row r="14">
      <c r="A14" s="9">
        <f>'Матрица'!A5</f>
        <v/>
      </c>
      <c r="B14" s="9">
        <f>'Матрица'!C5</f>
        <v/>
      </c>
      <c r="C14" s="9" t="inlineStr">
        <is>
          <t>MVP</t>
        </is>
      </c>
      <c r="D14" s="33">
        <f>'Матрица'!M5</f>
        <v/>
      </c>
      <c r="E14" s="33">
        <f>'Матрица'!N5</f>
        <v/>
      </c>
      <c r="F14" s="18">
        <f>'Матрица'!O5</f>
        <v/>
      </c>
    </row>
    <row r="15">
      <c r="A15" s="9">
        <f>'Матрица'!A6</f>
        <v/>
      </c>
      <c r="B15" s="9">
        <f>'Матрица'!C6</f>
        <v/>
      </c>
      <c r="C15" s="9" t="inlineStr">
        <is>
          <t>MVP</t>
        </is>
      </c>
      <c r="D15" s="33">
        <f>'Матрица'!M6</f>
        <v/>
      </c>
      <c r="E15" s="33">
        <f>'Матрица'!N6</f>
        <v/>
      </c>
      <c r="F15" s="13">
        <f>'Матрица'!O6</f>
        <v/>
      </c>
    </row>
    <row r="16">
      <c r="A16" s="9">
        <f>'Матрица'!A7</f>
        <v/>
      </c>
      <c r="B16" s="9">
        <f>'Матрица'!C7</f>
        <v/>
      </c>
      <c r="C16" s="9" t="inlineStr">
        <is>
          <t>MVP</t>
        </is>
      </c>
      <c r="D16" s="33">
        <f>'Матрица'!M7</f>
        <v/>
      </c>
      <c r="E16" s="33">
        <f>'Матрица'!N7</f>
        <v/>
      </c>
      <c r="F16" s="18">
        <f>'Матрица'!O7</f>
        <v/>
      </c>
    </row>
    <row r="17">
      <c r="A17" s="9">
        <f>'Матрица'!A8</f>
        <v/>
      </c>
      <c r="B17" s="9">
        <f>'Матрица'!C8</f>
        <v/>
      </c>
      <c r="C17" s="9" t="inlineStr">
        <is>
          <t>MVP</t>
        </is>
      </c>
      <c r="D17" s="33">
        <f>'Матрица'!M8</f>
        <v/>
      </c>
      <c r="E17" s="33">
        <f>'Матрица'!N8</f>
        <v/>
      </c>
      <c r="F17" s="18">
        <f>'Матрица'!O8</f>
        <v/>
      </c>
    </row>
    <row r="18">
      <c r="A18" s="9">
        <f>'Матрица'!A9</f>
        <v/>
      </c>
      <c r="B18" s="9">
        <f>'Матрица'!C9</f>
        <v/>
      </c>
      <c r="C18" s="9" t="inlineStr">
        <is>
          <t>MVP</t>
        </is>
      </c>
      <c r="D18" s="33">
        <f>'Матрица'!M9</f>
        <v/>
      </c>
      <c r="E18" s="33">
        <f>'Матрица'!N9</f>
        <v/>
      </c>
      <c r="F18" s="13">
        <f>'Матрица'!O9</f>
        <v/>
      </c>
    </row>
    <row r="19">
      <c r="A19" s="9">
        <f>'Матрица'!A10</f>
        <v/>
      </c>
      <c r="B19" s="9">
        <f>'Матрица'!C10</f>
        <v/>
      </c>
      <c r="C19" s="9" t="inlineStr">
        <is>
          <t>MVP</t>
        </is>
      </c>
      <c r="D19" s="33">
        <f>'Матрица'!M10</f>
        <v/>
      </c>
      <c r="E19" s="33">
        <f>'Матрица'!N10</f>
        <v/>
      </c>
      <c r="F19" s="18">
        <f>'Матрица'!O10</f>
        <v/>
      </c>
    </row>
    <row r="20">
      <c r="A20" s="9">
        <f>'Матрица'!A11</f>
        <v/>
      </c>
      <c r="B20" s="9">
        <f>'Матрица'!C11</f>
        <v/>
      </c>
      <c r="C20" s="9" t="inlineStr">
        <is>
          <t>MVP</t>
        </is>
      </c>
      <c r="D20" s="33">
        <f>'Матрица'!M11</f>
        <v/>
      </c>
      <c r="E20" s="33">
        <f>'Матрица'!N11</f>
        <v/>
      </c>
      <c r="F20" s="18">
        <f>'Матрица'!O11</f>
        <v/>
      </c>
    </row>
    <row r="21">
      <c r="A21" s="9">
        <f>'Матрица'!A12</f>
        <v/>
      </c>
      <c r="B21" s="9">
        <f>'Матрица'!C12</f>
        <v/>
      </c>
      <c r="C21" s="9" t="inlineStr">
        <is>
          <t>MVP</t>
        </is>
      </c>
      <c r="D21" s="33">
        <f>'Матрица'!M12</f>
        <v/>
      </c>
      <c r="E21" s="33">
        <f>'Матрица'!N12</f>
        <v/>
      </c>
      <c r="F21" s="13">
        <f>'Матрица'!O12</f>
        <v/>
      </c>
    </row>
    <row r="22">
      <c r="A22" s="9">
        <f>'Матрица'!A13</f>
        <v/>
      </c>
      <c r="B22" s="9">
        <f>'Матрица'!C13</f>
        <v/>
      </c>
      <c r="C22" s="9" t="inlineStr">
        <is>
          <t>MVP</t>
        </is>
      </c>
      <c r="D22" s="33">
        <f>'Матрица'!M13</f>
        <v/>
      </c>
      <c r="E22" s="33">
        <f>'Матрица'!N13</f>
        <v/>
      </c>
      <c r="F22" s="13">
        <f>'Матрица'!O13</f>
        <v/>
      </c>
    </row>
    <row r="23">
      <c r="A23" s="9">
        <f>'Матрица'!A14</f>
        <v/>
      </c>
      <c r="B23" s="9">
        <f>'Матрица'!C14</f>
        <v/>
      </c>
      <c r="C23" s="9" t="inlineStr">
        <is>
          <t>MVP</t>
        </is>
      </c>
      <c r="D23" s="33">
        <f>'Матрица'!M14</f>
        <v/>
      </c>
      <c r="E23" s="33">
        <f>'Матрица'!N14</f>
        <v/>
      </c>
      <c r="F23" s="13">
        <f>'Матрица'!O14</f>
        <v/>
      </c>
    </row>
    <row r="24">
      <c r="A24" s="9">
        <f>'Матрица'!A15</f>
        <v/>
      </c>
      <c r="B24" s="9">
        <f>'Матрица'!C15</f>
        <v/>
      </c>
      <c r="C24" s="9" t="inlineStr">
        <is>
          <t>MVP</t>
        </is>
      </c>
      <c r="D24" s="33">
        <f>'Матрица'!M15</f>
        <v/>
      </c>
      <c r="E24" s="33">
        <f>'Матрица'!N15</f>
        <v/>
      </c>
      <c r="F24" s="13">
        <f>'Матрица'!O15</f>
        <v/>
      </c>
    </row>
    <row r="25">
      <c r="A25" s="9">
        <f>'Матрица'!A16</f>
        <v/>
      </c>
      <c r="B25" s="9">
        <f>'Матрица'!C16</f>
        <v/>
      </c>
      <c r="C25" s="9" t="inlineStr">
        <is>
          <t>MVP</t>
        </is>
      </c>
      <c r="D25" s="33">
        <f>'Матрица'!M16</f>
        <v/>
      </c>
      <c r="E25" s="33">
        <f>'Матрица'!N16</f>
        <v/>
      </c>
      <c r="F25" s="13">
        <f>'Матрица'!O16</f>
        <v/>
      </c>
    </row>
    <row r="26">
      <c r="A26" s="9">
        <f>'Матрица'!A17</f>
        <v/>
      </c>
      <c r="B26" s="9">
        <f>'Матрица'!C17</f>
        <v/>
      </c>
      <c r="C26" s="9" t="inlineStr">
        <is>
          <t>MVP</t>
        </is>
      </c>
      <c r="D26" s="33">
        <f>'Матрица'!M17</f>
        <v/>
      </c>
      <c r="E26" s="33">
        <f>'Матрица'!N17</f>
        <v/>
      </c>
      <c r="F26" s="13">
        <f>'Матрица'!O17</f>
        <v/>
      </c>
    </row>
    <row r="27">
      <c r="A27" s="9">
        <f>'Матрица'!A17</f>
        <v/>
      </c>
      <c r="B27" s="9">
        <f>'Матрица'!C17</f>
        <v/>
      </c>
      <c r="C27" s="9" t="inlineStr">
        <is>
          <t>Тираж</t>
        </is>
      </c>
      <c r="D27" s="33">
        <f>'Матрица'!S17</f>
        <v/>
      </c>
      <c r="E27" s="33">
        <f>'Матрица'!T17</f>
        <v/>
      </c>
      <c r="F27" s="13">
        <f>'Матрица'!U17</f>
        <v/>
      </c>
    </row>
    <row r="28">
      <c r="A28" s="9">
        <f>'Матрица'!A18</f>
        <v/>
      </c>
      <c r="B28" s="9">
        <f>'Матрица'!C18</f>
        <v/>
      </c>
      <c r="C28" s="9" t="inlineStr">
        <is>
          <t>MVP</t>
        </is>
      </c>
      <c r="D28" s="33">
        <f>'Матрица'!M18</f>
        <v/>
      </c>
      <c r="E28" s="33">
        <f>'Матрица'!N18</f>
        <v/>
      </c>
      <c r="F28" s="18">
        <f>'Матрица'!O18</f>
        <v/>
      </c>
    </row>
    <row r="29">
      <c r="A29" s="9">
        <f>'Матрица'!A19</f>
        <v/>
      </c>
      <c r="B29" s="9">
        <f>'Матрица'!C19</f>
        <v/>
      </c>
      <c r="C29" s="9" t="inlineStr">
        <is>
          <t>MVP</t>
        </is>
      </c>
      <c r="D29" s="33">
        <f>'Матрица'!M19</f>
        <v/>
      </c>
      <c r="E29" s="33">
        <f>'Матрица'!N19</f>
        <v/>
      </c>
      <c r="F29" s="18">
        <f>'Матрица'!O19</f>
        <v/>
      </c>
    </row>
    <row r="30">
      <c r="A30" s="9">
        <f>'Матрица'!A20</f>
        <v/>
      </c>
      <c r="B30" s="9">
        <f>'Матрица'!C20</f>
        <v/>
      </c>
      <c r="C30" s="9" t="inlineStr">
        <is>
          <t>MVP</t>
        </is>
      </c>
      <c r="D30" s="33">
        <f>'Матрица'!M20</f>
        <v/>
      </c>
      <c r="E30" s="33">
        <f>'Матрица'!N20</f>
        <v/>
      </c>
      <c r="F30" s="18">
        <f>'Матрица'!O20</f>
        <v/>
      </c>
    </row>
    <row r="31">
      <c r="A31" s="9">
        <f>'Матрица'!A21</f>
        <v/>
      </c>
      <c r="B31" s="9">
        <f>'Матрица'!C21</f>
        <v/>
      </c>
      <c r="C31" s="9" t="inlineStr">
        <is>
          <t>MVP</t>
        </is>
      </c>
      <c r="D31" s="33">
        <f>'Матрица'!M21</f>
        <v/>
      </c>
      <c r="E31" s="33">
        <f>'Матрица'!N21</f>
        <v/>
      </c>
      <c r="F31" s="18">
        <f>'Матрица'!O21</f>
        <v/>
      </c>
    </row>
    <row r="32">
      <c r="A32" s="9">
        <f>'Матрица'!A22</f>
        <v/>
      </c>
      <c r="B32" s="9">
        <f>'Матрица'!C22</f>
        <v/>
      </c>
      <c r="C32" s="9" t="inlineStr">
        <is>
          <t>MVP</t>
        </is>
      </c>
      <c r="D32" s="33">
        <f>'Матрица'!M22</f>
        <v/>
      </c>
      <c r="E32" s="33">
        <f>'Матрица'!N22</f>
        <v/>
      </c>
      <c r="F32" s="13">
        <f>'Матрица'!O22</f>
        <v/>
      </c>
    </row>
    <row r="33">
      <c r="A33" s="9">
        <f>'Матрица'!A23</f>
        <v/>
      </c>
      <c r="B33" s="9">
        <f>'Матрица'!C23</f>
        <v/>
      </c>
      <c r="C33" s="9" t="inlineStr">
        <is>
          <t>MVP</t>
        </is>
      </c>
      <c r="D33" s="33">
        <f>'Матрица'!M23</f>
        <v/>
      </c>
      <c r="E33" s="33">
        <f>'Матрица'!N23</f>
        <v/>
      </c>
      <c r="F33" s="13">
        <f>'Матрица'!O23</f>
        <v/>
      </c>
    </row>
    <row r="34">
      <c r="A34" s="9">
        <f>'Матрица'!A24</f>
        <v/>
      </c>
      <c r="B34" s="9">
        <f>'Матрица'!C24</f>
        <v/>
      </c>
      <c r="C34" s="9" t="inlineStr">
        <is>
          <t>MVP</t>
        </is>
      </c>
      <c r="D34" s="33">
        <f>'Матрица'!M24</f>
        <v/>
      </c>
      <c r="E34" s="33">
        <f>'Матрица'!N24</f>
        <v/>
      </c>
      <c r="F34" s="13">
        <f>'Матрица'!O24</f>
        <v/>
      </c>
    </row>
    <row r="35">
      <c r="A35" s="9">
        <f>'Матрица'!A26</f>
        <v/>
      </c>
      <c r="B35" s="9">
        <f>'Матрица'!C26</f>
        <v/>
      </c>
      <c r="C35" s="9" t="inlineStr">
        <is>
          <t>MVP</t>
        </is>
      </c>
      <c r="D35" s="33">
        <f>'Матрица'!M26</f>
        <v/>
      </c>
      <c r="E35" s="33">
        <f>'Матрица'!N26</f>
        <v/>
      </c>
      <c r="F35" s="18">
        <f>'Матрица'!O26</f>
        <v/>
      </c>
    </row>
    <row r="36">
      <c r="A36" s="9">
        <f>'Матрица'!A33</f>
        <v/>
      </c>
      <c r="B36" s="9">
        <f>'Матрица'!C33</f>
        <v/>
      </c>
      <c r="C36" s="9" t="inlineStr">
        <is>
          <t>MVP</t>
        </is>
      </c>
      <c r="D36" s="33">
        <f>'Матрица'!M33</f>
        <v/>
      </c>
      <c r="E36" s="33">
        <f>'Матрица'!N33</f>
        <v/>
      </c>
      <c r="F36" s="18">
        <f>'Матрица'!O33</f>
        <v/>
      </c>
    </row>
    <row r="37">
      <c r="A37" s="9">
        <f>'Матрица'!A34</f>
        <v/>
      </c>
      <c r="B37" s="9">
        <f>'Матрица'!C34</f>
        <v/>
      </c>
      <c r="C37" s="9" t="inlineStr">
        <is>
          <t>MVP</t>
        </is>
      </c>
      <c r="D37" s="33">
        <f>'Матрица'!M34</f>
        <v/>
      </c>
      <c r="E37" s="33">
        <f>'Матрица'!N34</f>
        <v/>
      </c>
      <c r="F37" s="18">
        <f>'Матрица'!O34</f>
        <v/>
      </c>
    </row>
    <row r="38">
      <c r="A38" s="9">
        <f>'Матрица'!A35</f>
        <v/>
      </c>
      <c r="B38" s="9">
        <f>'Матрица'!C35</f>
        <v/>
      </c>
      <c r="C38" s="9" t="inlineStr">
        <is>
          <t>MVP</t>
        </is>
      </c>
      <c r="D38" s="33">
        <f>'Матрица'!M35</f>
        <v/>
      </c>
      <c r="E38" s="33">
        <f>'Матрица'!N35</f>
        <v/>
      </c>
      <c r="F38" s="18">
        <f>'Матрица'!O35</f>
        <v/>
      </c>
    </row>
    <row r="39">
      <c r="A39" s="9">
        <f>'Матрица'!A37</f>
        <v/>
      </c>
      <c r="B39" s="9">
        <f>'Матрица'!C37</f>
        <v/>
      </c>
      <c r="C39" s="9" t="inlineStr">
        <is>
          <t>MVP</t>
        </is>
      </c>
      <c r="D39" s="33">
        <f>'Матрица'!M37</f>
        <v/>
      </c>
      <c r="E39" s="33">
        <f>'Матрица'!N37</f>
        <v/>
      </c>
      <c r="F39" s="18">
        <f>'Матрица'!O37</f>
        <v/>
      </c>
    </row>
    <row r="40">
      <c r="A40" s="9">
        <f>'Матрица'!A38</f>
        <v/>
      </c>
      <c r="B40" s="9">
        <f>'Матрица'!C38</f>
        <v/>
      </c>
      <c r="C40" s="9" t="inlineStr">
        <is>
          <t>MVP</t>
        </is>
      </c>
      <c r="D40" s="33">
        <f>'Матрица'!M38</f>
        <v/>
      </c>
      <c r="E40" s="33">
        <f>'Матрица'!N38</f>
        <v/>
      </c>
      <c r="F40" s="18">
        <f>'Матрица'!O38</f>
        <v/>
      </c>
    </row>
    <row r="42">
      <c r="B42" s="42" t="inlineStr">
        <is>
          <t>Документы-источники</t>
        </is>
      </c>
    </row>
    <row r="43">
      <c r="B43" s="11" t="inlineStr">
        <is>
          <t>ADR-100</t>
        </is>
      </c>
      <c r="C43" s="9" t="inlineStr">
        <is>
          <t>Что сдано и что отложено; таблица «целевой компонент — замена на прототипе»</t>
        </is>
      </c>
    </row>
    <row r="44">
      <c r="B44" s="11" t="inlineStr">
        <is>
          <t>ADR-200</t>
        </is>
      </c>
      <c r="C44" s="9" t="inlineStr">
        <is>
          <t>Стек по слоям, альтернативы, сравнение Python/Go/Node.js</t>
        </is>
      </c>
    </row>
    <row r="45">
      <c r="B45" s="11" t="inlineStr">
        <is>
          <t>ADR-300</t>
        </is>
      </c>
      <c r="C45" s="9" t="inlineStr">
        <is>
          <t>Модели: классификация, эмбеддинги, реранкер, генерация, судья</t>
        </is>
      </c>
    </row>
    <row r="46">
      <c r="B46" s="11" t="inlineStr">
        <is>
          <t>ADR-400</t>
        </is>
      </c>
      <c r="C46" s="9" t="inlineStr">
        <is>
          <t>Безопасность по контурам, открытые пункты</t>
        </is>
      </c>
    </row>
    <row r="47">
      <c r="B47" s="11" t="inlineStr">
        <is>
          <t>ADR-500</t>
        </is>
      </c>
      <c r="C47" s="9" t="inlineStr">
        <is>
          <t>Ресурсы и стоимость: прототип, MVP, тираж</t>
        </is>
      </c>
    </row>
    <row r="48">
      <c r="B48" s="11" t="inlineStr">
        <is>
          <t>ADR-600</t>
        </is>
      </c>
      <c r="C48" s="9" t="inlineStr">
        <is>
          <t>План развития и укрупнённые оценки трудозатрат</t>
        </is>
      </c>
    </row>
    <row r="49">
      <c r="B49" s="11" t="inlineStr">
        <is>
          <t>C4_Deployment, C3/*</t>
        </is>
      </c>
      <c r="C49" s="9" t="inlineStr">
        <is>
          <t>Целевая схема развёртывания и компоненты</t>
        </is>
      </c>
    </row>
    <row r="50">
      <c r="B50" s="11" t="inlineStr">
        <is>
          <t>Код и docker-compose.yml</t>
        </is>
      </c>
      <c r="C50" s="9" t="inlineStr">
        <is>
          <t>Проверка колонки «Сейчас»</t>
        </is>
      </c>
    </row>
  </sheetData>
  <mergeCells count="14">
    <mergeCell ref="C45:F45"/>
    <mergeCell ref="C3:F3"/>
    <mergeCell ref="C48:F48"/>
    <mergeCell ref="C8:F8"/>
    <mergeCell ref="C49:F49"/>
    <mergeCell ref="C4:F4"/>
    <mergeCell ref="C43:F43"/>
    <mergeCell ref="C6:F6"/>
    <mergeCell ref="C7:F7"/>
    <mergeCell ref="C46:F46"/>
    <mergeCell ref="C47:F47"/>
    <mergeCell ref="C5:F5"/>
    <mergeCell ref="C50:F50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2026-09-24T13:51:08Z</dcterms:created>
  <dcterms:modified xmlns:dcterms="http://purl.org/dc/terms/" xmlns:xsi="http://www.w3.org/2001/XMLSchema-instance" xsi:type="dcterms:W3CDTF">2026-09-24T13:51:08Z</dcterms:modified>
</cp:coreProperties>
</file>