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'Матрица'!$A$2:$V$40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 Классификация даёт одну тему и один тип на реплику; несколько задач в реплике разбирает детектор намерений (`app/agents/intents.py`, реализован на прототипе). Замер: 31 из 136 настоящих обращений (23%) подходят под несколько типов по ключевым словам — это пересечение слов; детектор на тех же текстах находит несколько задач в 1 из 136 (0,7%). Доля по разметке людьми не измерена — при доле выше 5% агент переводится на LangGraph (триггер 4, ADR-200).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промпта, ложное «сделал» (модель пишет, что выполнила операцию)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 Ложное «сделал» ловится правилом `unperformed_action` (начало предложения с глаголом первого лица) и правилом в промпте; до них модель отвечала «Передал показания 1234. Проверил наличие долга — его нет». Перечень глаголов собран вручную, частота ложных блокировок и пропусков на живых ответах неизвестна.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В кластере владельца GPU нет: на MVP — e5-small на CPU (36–37 мс на запрос, замер); BGE-M3 на GPU — только если владелец после проверки на реальных данных решит добавить GPU-узел (строка «GPU-узел в кластере владельца»); сами тесты BGE-M3 идут офлайн на CPU.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Без GPU: sentence-transformers, e5-small на CPU (2 реплики). С GPU-узлом: BGE-M3, сервис `embedding-inference`.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Без GPU-узла остаётся выключенным (на CPU 7,2 с при бюджете 100 мс); включается только если владелец после проверки на реальных данных решит купить GPU-узел. Качество реранкеров проверяется офлайн на CPU.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Без GPU: выключен. С GPU-узлом: BGE-reranker-v2-m3, сервис `reranker-inference`.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 Реплика с несколькими задачами разбирается и отвечается по частям; регистрация предлагается по первой подходящей части, несколько черновиков не хранятся; из условий проверяется только наличие долга (ADR-200). Доля реплик с двумя и более задачами по разметке не измерена: выше 5% — переход на LangGraph.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четырёх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слиянием; доля реплик с двумя и более задачами выше 5%).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 Четвёртый триггер — доля реплик абонентов с двумя и более задачами выше 5% (измерение на выгрузке живых обращений и затем ежемесячно по чату). Оценка по триггерам: общая часть 5–9 чел-дн; с триггером 1 — 8–14, 2 — 7–12, 3 — 7–12, 4 — 7–13; все четыре — 14–24 (диапазон 7–24).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регрессия; при триггере 4 — перенос детектора намерений и очереди задач в граф, условные задачи.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7</v>
      </c>
      <c r="N18" s="12" t="n">
        <v>24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одном или нескольких хостах не переживает отказ узла и не обновляется без остановки; Docker Swarm слабее по GPU и заданиям, меньше сообщество; Nomad — реальная альтернатива, если некому эксплуатировать Kubernetes (проще, встроенная интеграция с Vault). Сравнение по документации, ни один вариант кроме Compose не разворачивался (ADR-200, «Почему Kubernetes»).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 и подраздел «Почему Kubernetes, а не другая оркестрация»</t>
        </is>
      </c>
      <c r="I22" s="9" t="inlineStr">
        <is>
          <t>Решение заказчика проекта (24.09.2026, документально не подтверждено): личный кабинет уже на Kubernetes, размещаемся в том же кластере, эксплуатирует тот же отдел, GPU-узлов нет. Не известны дистрибутив и версия, квоты, классы хранилищ и быстрые диски, есть ли Vault и своя наблюдаемость, сетевые правила. Управляющая часть кластера в расчёт узлов не заложена — размещена на узлах общего пула (допущение). Накладные расходы кластера — порядка 1 vCPU и 2 ГиБ на узел (допущение): более половины полезной нагрузки на MVP; в общем кластере владельца управляющая часть и системные поды общие, расчёт узлов — верхняя оценка. Nomad с Vault — план Б, менее вероятный.</t>
        </is>
      </c>
      <c r="J22" s="9" t="inlineStr">
        <is>
          <t>Размещение в существующем кластере владельца, где работает личный кабинет (эксплуатирует тот же отдел; GPU-узлов нет): пространство имён, квоты, сетевые правила, Ingress, классы хранилищ, манифесты для 20 компонентов, секреты (Vault или механизм кластера). Расчёт по допущениям (лист «Sizing», базовый вариант без GPU): 6 узлов на MVP (4 общих и 2 данных), 7 на тираже (+1 GPU-узел под собственную модель); в общем кластере это верхняя оценка заказываемых узлов, стоимость серверов не оценена.</t>
        </is>
      </c>
      <c r="K22" s="9" t="inlineStr">
        <is>
          <t>Kubernetes владельца (дистрибутив и версия неизвестны); Ingress и сертификаты — по правилам кластера; манифесты приложения.</t>
        </is>
      </c>
      <c r="L22" s="9" t="inlineStr">
        <is>
          <t>Отказоустойчивость, обновление без остановки, пулы узлов с GPU, задания по расписанию, секреты через Vault Agent Injector. Нагрузка ради этого не нужна: запросы всех подов (11,2 vCPU, 23,6 ГиБ) помещаются на один сервер.</t>
        </is>
      </c>
      <c r="M22" s="12" t="n">
        <v>6</v>
      </c>
      <c r="N22" s="12" t="n">
        <v>9</v>
      </c>
      <c r="O22" s="13" t="inlineStr">
        <is>
          <t>Оценка автора</t>
        </is>
      </c>
      <c r="P22" s="9" t="inlineStr">
        <is>
          <t>Согласование платформы с владельцем инфраструктуры: решено размещаться в общем кластере с личным кабинетом (эксплуатирует тот же отдел, GPU нет); остаются дистрибутив и версия, квоты, Vault и наблюдаемость кластера, отечественное ПО; аргументация записана в ADR-200; при необходимости отдельный ADR.</t>
        </is>
      </c>
      <c r="Q22" s="9" t="inlineStr">
        <is>
          <t>—</t>
        </is>
      </c>
      <c r="R22" s="9" t="inlineStr">
        <is>
          <t>Для тиража нужна согласованная платформа, включая GPU-пулы; выбор Kubernetes пока предварительный.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Kubernetes; используется ли Vault в кластере владельца, неизвестно — возможно, придётся взять их механизм секретов.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4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4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11.5</v>
      </c>
      <c r="N33" s="17" t="n">
        <v>17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GPU-узел в кластере владельца (решение после проверки на реальных данных)</t>
        </is>
      </c>
      <c r="D36" s="9" t="inlineStr">
        <is>
          <t>Kubernetes-кластер владельца (новый GPU-узел); embedding-inference; reranker-inference; ETL индексации</t>
        </is>
      </c>
      <c r="E36" s="9" t="inlineStr">
        <is>
          <t>Kubernetes: плагин устройств GPU, метки узлов и taints; драйвер видеокарты</t>
        </is>
      </c>
      <c r="F36" s="9" t="inlineStr">
        <is>
          <t>В кластере, где работает личный кабинет и где размещается наш контур, GPU-узлов нет (решение заказчика проекта, 24.09.2026). Без них MVP на CPU: эмбеддинги e5-small (36–37 мс на запрос), реранкер выключен, индексация считает эмбеддинги на CPU.</t>
        </is>
      </c>
      <c r="G36" s="9" t="inlineStr">
        <is>
          <t>Без GPU: BGE-M3 (300 мс) и реранкер (7,2 с на 20 кандидатах) не укладываются в бюджет 100 мс на CPU. С GPU-узлом: возможны BGE-M3, реранкер, позже собственная модель. Владелец примет решение о GPU-узле только после проверки на реальных данных (24.09.2026): тест моделей идёт на CPU, скорость на GPU — коротким замером на временной видеокарте (ADR-200, «Почему Kubernetes», ADR-600).</t>
        </is>
      </c>
      <c r="H36" s="9" t="inlineStr">
        <is>
          <t>ADR-200, подраздел «Почему Kubernetes, а не другая оркестрация» (пункт «GPU»); ADR-300, раздел 2; ADR-600, «GPU-узел в кластере владельца — решение после проверки на реальных данных»</t>
        </is>
      </c>
      <c r="I36" s="9" t="inlineStr">
        <is>
          <t>Цена и сроки закупки сервера не оценены; скорость моделей на GPU не измерялась; отдел владельца GPU не эксплуатировал.</t>
        </is>
      </c>
      <c r="J36" s="9" t="inlineStr">
        <is>
          <t>Решение — после проверки на реальных данных. Лестница (каждый следующий вариант — только если предыдущий не подошёл): (1) CPU; (2) CPU + Яндекс (управляемые модели, эмбеддинги через API; тарифы, качество и задержка не проверялись, нужно согласование с ИБ; что именно понимается под «Яндекс», уточнить); (3) аренда GPU на месяц — замер скорости, качество на обезличенных текстах, пилот (2–4 чел-дн оценка автора, цена аренды не оценена); (4) покупка — по итогам аренды, решение владельца. «Не подошёл» — не укладывается в 100 мс P99 или качество на размеченных живых обращениях ниже требуемого (уровень задаёт владелец до теста). Критерий-предложение автора, не расчёт: покупать, если лучшая GPU-конфигурация даёт выигрыш не менее 5 п.п. по hit@3 (или MRR) над лучшей CPU-моделью и укладывается в 100 мс. Если решение — покупать (после аренды): закупка сервера и подключение к общему кластеру (драйверы, плагин устройств, метки и запреты размещения, квоты, согласование с отделом) — 3–5 чел-дн без закупки.</t>
        </is>
      </c>
      <c r="K36" s="9" t="inlineStr">
        <is>
          <t>Kubernetes: плагин устройств GPU, метки узлов и taints; драйвер видеокарты.</t>
        </is>
      </c>
      <c r="L36" s="9" t="inlineStr">
        <is>
          <t>Тест BGE-M3 и реранкеров остаётся в плане при любом исходе: он и даёт основание для решения. Строка отражает работы на случай покупки и в итог сметы не входит.</t>
        </is>
      </c>
      <c r="M36" s="12" t="n">
        <v>3</v>
      </c>
      <c r="N36" s="12" t="n">
        <v>5</v>
      </c>
      <c r="O36" s="13" t="inlineStr">
        <is>
          <t>По триггеру (решение владельца после проверки на реальных данных; оценка автора)</t>
        </is>
      </c>
      <c r="P36" s="14" t="inlineStr">
        <is>
          <t>Без изменений</t>
        </is>
      </c>
      <c r="Q36" s="15" t="n"/>
      <c r="R36" s="15" t="n"/>
      <c r="S36" s="16" t="n"/>
      <c r="T36" s="16" t="n"/>
      <c r="U36" s="15" t="n"/>
      <c r="V36" s="9" t="inlineStr">
        <is>
          <t>ADR-200; 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Выбор семейства собственной модели и закупка GPU</t>
        </is>
      </c>
      <c r="D37" s="9" t="inlineStr">
        <is>
          <t>LLM Provider (собственная модель, тираж); LLM Gateway; GPU-пул</t>
        </is>
      </c>
      <c r="E37" s="9" t="inlineStr">
        <is>
          <t>Qwen2.5-32B INT4; vLLM; 1× GPU A100 80 ГБ</t>
        </is>
      </c>
      <c r="F37" s="9" t="inlineStr">
        <is>
          <t>Выбор Qwen2.5 сделан по репутации, на эталонном наборе не проверен.</t>
        </is>
      </c>
      <c r="G37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7" s="9" t="inlineStr">
        <is>
          <t>ADR-300, раздел 4, подраздел «Сравнение семейства self-hosted-модели тиража»; стоимость — ADR-500</t>
        </is>
      </c>
      <c r="I37" s="9" t="inlineStr">
        <is>
          <t>Закупка оборудования — недели или месяцы, это снабжение, не разработка.</t>
        </is>
      </c>
      <c r="J37" s="14" t="inlineStr">
        <is>
          <t>Без изменений</t>
        </is>
      </c>
      <c r="K37" s="15" t="n"/>
      <c r="L37" s="15" t="n"/>
      <c r="M37" s="16" t="n"/>
      <c r="N37" s="16" t="n"/>
      <c r="O37" s="15" t="n"/>
      <c r="P37" s="9" t="inlineStr">
        <is>
          <t>Сравнение семейств на эталонном наборе; закупка и ввод GPU-сервера 1× A100 80 ГБ.</t>
        </is>
      </c>
      <c r="Q37" s="9" t="inlineStr">
        <is>
          <t>Qwen2.5-32B INT4, vLLM.</t>
        </is>
      </c>
      <c r="R37" s="9" t="inlineStr">
        <is>
          <t>Аренда исключена не по цене, а по триггеру (речь о собственной модели генерации; для проверки эмбеддингов и реранкера на MVP аренда на месяц допустима): облачный GPU считается внешним сервисом.</t>
        </is>
      </c>
      <c r="S37" s="20" t="n">
        <v>3</v>
      </c>
      <c r="T37" s="20" t="n">
        <v>5</v>
      </c>
      <c r="U37" s="21" t="inlineStr">
        <is>
          <t>ADR-600</t>
        </is>
      </c>
      <c r="V37" s="9" t="inlineStr">
        <is>
          <t>ADR-300; ADR-500; ADR-600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Анализ всех типов обращений на живых данных и повторный выбор моделей</t>
        </is>
      </c>
      <c r="D38" s="9" t="inlineStr">
        <is>
          <t>Backend (Triage, ответчики); embedding-inference; reranker-inference; Qdrant (переиндексация при смене модели); LLM Gateway (пороги)</t>
        </is>
      </c>
      <c r="E38" s="9" t="inlineStr">
        <is>
          <t>Скрипты замера (`scripts/`), `golden_set/`, PII Filter; результат — Inquiry_Types.xlsx</t>
        </is>
      </c>
      <c r="F38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8" s="9" t="inlineStr">
        <is>
          <t>Не применимо: это работа, а не выбор технологии; сравнение моделей входит в её состав.</t>
        </is>
      </c>
      <c r="H38" s="9" t="inlineStr">
        <is>
          <t>ADR-300, разделы 1–2 (решение); ADR-600, раздел «Анализ типов обращений на живых данных»</t>
        </is>
      </c>
      <c r="I38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8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 Для каждой реплики размечается число задач и считается доля реплик с двумя и более — триггер 4 перехода агента на LangGraph (выше 5%, ADR-200); в пределах оценки.</t>
        </is>
      </c>
      <c r="K38" s="9" t="inlineStr">
        <is>
          <t>Скрипты замера (`scripts/measure_classifier.py`, `measure_search_models.py`), `golden_set/`, PII Filter; результат — обновлённый `Inquiry_Types.xlsx`.</t>
        </is>
      </c>
      <c r="L38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8" s="17" t="n">
        <v>13</v>
      </c>
      <c r="N38" s="17" t="n">
        <v>19</v>
      </c>
      <c r="O38" s="18" t="inlineStr">
        <is>
          <t>Из блока ADR-600: Анализ типов на живых данных</t>
        </is>
      </c>
      <c r="P38" s="9" t="inlineStr">
        <is>
          <t>Повторное решение по моделям для тиража по живой статистике MVP.</t>
        </is>
      </c>
      <c r="Q38" s="9" t="inlineStr">
        <is>
          <t>Те же скрипты замера; при смене модели — переиндексация и пересчёт порогов k-NN.</t>
        </is>
      </c>
      <c r="R38" s="9" t="inlineStr">
        <is>
          <t>Проверить, что модель MVP годится при нагрузке тиража; при необходимости пересчитать пороги и sizing.</t>
        </is>
      </c>
      <c r="S38" s="20" t="n">
        <v>2</v>
      </c>
      <c r="T38" s="20" t="n">
        <v>3</v>
      </c>
      <c r="U38" s="21" t="inlineStr">
        <is>
          <t>ADR-600</t>
        </is>
      </c>
      <c r="V38" s="9" t="inlineStr">
        <is>
          <t>ADR-300; ADR-600; Inquiry_Types.xlsx</t>
        </is>
      </c>
    </row>
    <row r="39">
      <c r="A39" s="9" t="n">
        <v>37</v>
      </c>
      <c r="B39" s="23" t="inlineStr">
        <is>
          <t>Сквозная работа</t>
        </is>
      </c>
      <c r="C39" s="11" t="inlineStr">
        <is>
          <t>Несколько задач в одной реплике (доработка после прототипа)</t>
        </is>
      </c>
      <c r="D39" s="9" t="inlineStr">
        <is>
          <t>Backend (оркестратор, детектор намерений); LLM Gateway (охранитель, правило в промпте); Session State Store; виджет (кнопки нескольких обращений)</t>
        </is>
      </c>
      <c r="E39" s="9" t="inlineStr">
        <is>
          <t>Python; `app/agents/intents.py` (правила на регулярных выражениях); `Orchestrator._stream_parts`; `unperformed_action` в `app/gateway/guardrails.py`; метрика `assistant_multi_intent_total`</t>
        </is>
      </c>
      <c r="F39" s="9" t="inlineStr">
        <is>
          <t>На прототипе реализовано: детектор намерений разбирает реплику на задачи правилами (`app/agents/intents.py`), оркестратор отвечает по каждой части, операции без выполнения получают прямой отказ, условие «если долга нет» проверяется по Биллингу; ложное «сделал» блокируется правилом в промпте и в охранителе (`unperformed_action`). Тесты: 22 + 16 + 8. Измерение на выгрузке обращений (`scripts/measure_intents.py`): несколько задач в 1 из 136 текстов (0,7%) — срабатывание детектора, не разметка людьми.</t>
        </is>
      </c>
      <c r="G39" s="9" t="inlineStr">
        <is>
          <t>Правила, а не модель: модель на каждой реплике стоила бы времени и токенов, а её разбиение нечем проверить. LangGraph реплику на задачи не разбирает — детектор нужен в любом случае (ADR-200, «Как реализовано: несколько задач в одной реплике»).</t>
        </is>
      </c>
      <c r="H39" s="9" t="inlineStr">
        <is>
          <t>ADR-200, подраздел «Как реализовано: несколько задач в одной реплике» (в разделе «Оркестрация агента»); ADR-100, раздел «Несколько задач в одной реплике»; ADR-400</t>
        </is>
      </c>
      <c r="I39" s="9" t="inlineStr">
        <is>
          <t>Предел 300 знаков, перечни глаголов и операций подобраны автором на 136 обращениях регистра, не на репликах чата; точность и полнота на размеченных репликах не измерены. Регистрация только по первой части, из условий проверяется лишь долг, путь `generate` не разбирается, второй бланк перезапишет первый.</t>
        </is>
      </c>
      <c r="J39" s="9" t="inlineStr">
        <is>
          <t>Проверка детектора на размеченных репликах чата (точность, полнота, подбор предела и перечней); регистрация нескольких обращений из одной реплики (несколько черновиков, подтверждение каждого, виджет); условия помимо долга; путь `generate`, лимиты и порядок частей.</t>
        </is>
      </c>
      <c r="K39" s="9" t="inlineStr">
        <is>
          <t>Python; правила на регулярных выражениях; метрика `assistant_multi_intent_total`; состояние диалога в Redis.</t>
        </is>
      </c>
      <c r="L39" s="9" t="inlineStr">
        <is>
          <t>Без этого вторая задача реплики теряется, а модель может написать, что выполнила операцию; доля многозадачных реплик по разметке людьми — условие перехода на LangGraph (триггер 4).</t>
        </is>
      </c>
      <c r="M39" s="17" t="n">
        <v>9</v>
      </c>
      <c r="N39" s="17" t="n">
        <v>14</v>
      </c>
      <c r="O39" s="18" t="inlineStr">
        <is>
          <t>Из блока ADR-600: Несколько задач в одной реплике (доработка после прототипа)</t>
        </is>
      </c>
      <c r="P39" s="14" t="inlineStr">
        <is>
          <t>Без изменений</t>
        </is>
      </c>
      <c r="Q39" s="15" t="n"/>
      <c r="R39" s="15" t="n"/>
      <c r="S39" s="16" t="n"/>
      <c r="T39" s="16" t="n"/>
      <c r="U39" s="15" t="n"/>
      <c r="V39" s="9" t="inlineStr">
        <is>
          <t>ADR-100; ADR-200; ADR-400; ADR-600</t>
        </is>
      </c>
    </row>
    <row r="40">
      <c r="A40" s="9" t="n">
        <v>38</v>
      </c>
      <c r="B40" s="23" t="inlineStr">
        <is>
          <t>Сквозная работа</t>
        </is>
      </c>
      <c r="C40" s="11" t="inlineStr">
        <is>
          <t>Проверка на живых данных: Guardrails и выбор провайдера (YandexGPT, GigaChat)</t>
        </is>
      </c>
      <c r="D40" s="9" t="inlineStr">
        <is>
          <t>LLM Gateway; Guardrails; LLM Provider (YandexGPT, GigaChat); Backend; PII Filter</t>
        </is>
      </c>
      <c r="E40" s="9" t="inlineStr">
        <is>
          <t>Скрипты замера (`scripts/`), судья качества, метрики Prometheus, LiteLLM Router (цепочки переключения), PII Filter</t>
        </is>
      </c>
      <c r="F40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40" s="9" t="inlineStr">
        <is>
          <t>Не применимо: это работа, а не выбор технологии; сравнение YandexGPT и GigaChat на живых данных — её содержание.</t>
        </is>
      </c>
      <c r="H40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40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40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40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40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40" s="17" t="n">
        <v>11</v>
      </c>
      <c r="N40" s="17" t="n">
        <v>18</v>
      </c>
      <c r="O40" s="18" t="inlineStr">
        <is>
          <t>Из блока ADR-600: Проверка Guardrails и провайдеров на живых данных</t>
        </is>
      </c>
      <c r="P40" s="14" t="inlineStr">
        <is>
          <t>Без изменений</t>
        </is>
      </c>
      <c r="Q40" s="15" t="n"/>
      <c r="R40" s="15" t="n"/>
      <c r="S40" s="16" t="n"/>
      <c r="T40" s="16" t="n"/>
      <c r="U40" s="15" t="n"/>
      <c r="V40" s="9" t="inlineStr">
        <is>
          <t>ADR-300; ADR-400; ADR-600</t>
        </is>
      </c>
    </row>
    <row r="42">
      <c r="C42" s="26" t="inlineStr">
        <is>
          <t>Цвет ячеек с оценкой:</t>
        </is>
      </c>
    </row>
    <row r="43">
      <c r="C43" s="27" t="n"/>
      <c r="D43" s="28" t="inlineStr">
        <is>
          <t>цифра прямо из ADR-600</t>
        </is>
      </c>
    </row>
    <row r="44">
      <c r="C44" s="29" t="n"/>
      <c r="D44" s="28" t="inlineStr">
        <is>
          <t>цифра блока ADR-600 (или его доля, распределённая автором) — подтвердить</t>
        </is>
      </c>
    </row>
    <row r="45">
      <c r="C45" s="30" t="n"/>
      <c r="D45" s="28" t="inlineStr">
        <is>
          <t>в ADR-600 нет, оценка автора — подтвердить</t>
        </is>
      </c>
    </row>
    <row r="46">
      <c r="C46" s="31" t="n"/>
      <c r="D46" s="28" t="inlineStr">
        <is>
          <t>изменений на этом этапе нет</t>
        </is>
      </c>
    </row>
  </sheetData>
  <autoFilter ref="A2:V40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SUM('Матрица'!$M$3:$M$40)-SUMIF('Матрица'!$O$3:$O$40,"По триггеру*",'Матрица'!$M$3:$M$40)</f>
        <v/>
      </c>
      <c r="C5" s="34">
        <f>SUM('Матрица'!$N$3:$N$40)-SUMIF('Матрица'!$O$3:$O$40,"По триггеру*",'Матрица'!$N$3:$N$40)</f>
        <v/>
      </c>
      <c r="D5" s="34">
        <f>B5/5</f>
        <v/>
      </c>
      <c r="E5" s="34">
        <f>C5/5</f>
        <v/>
      </c>
      <c r="F5" s="35">
        <f>SUMIF('Матрица'!$O$3:$O$40,"ADR-600",'Матрица'!$M$3:$M$40)</f>
        <v/>
      </c>
      <c r="G5" s="35">
        <f>SUMIF('Матрица'!$O$3:$O$40,"ADR-600",'Матрица'!$N$3:$N$40)</f>
        <v/>
      </c>
      <c r="H5" s="36">
        <f>SUMIF('Матрица'!$O$3:$O$40,"Из блока*",'Матрица'!$M$3:$M$40)</f>
        <v/>
      </c>
      <c r="I5" s="36">
        <f>SUMIF('Матрица'!$O$3:$O$40,"Из блока*",'Матрица'!$N$3:$N$40)</f>
        <v/>
      </c>
      <c r="J5" s="37">
        <f>SUMIF('Матрица'!$O$3:$O$40,"Оценка автора",'Матрица'!$M$3:$M$40)</f>
        <v/>
      </c>
      <c r="K5" s="37">
        <f>SUMIF('Матрица'!$O$3:$O$40,"Оценка автора",'Матрица'!$N$3:$N$40)</f>
        <v/>
      </c>
      <c r="L5" s="34">
        <f>SUMIF('Матрица'!$O$3:$O$40,"По триггеру*",'Матрица'!$M$3:$M$40)</f>
        <v/>
      </c>
      <c r="M5" s="34">
        <f>SUMIF('Матрица'!$O$3:$O$40,"По триггеру*",'Матрица'!$N$3:$N$40)</f>
        <v/>
      </c>
    </row>
    <row r="6">
      <c r="A6" s="11" t="inlineStr">
        <is>
          <t>Тираж — 90 000 абонентов</t>
        </is>
      </c>
      <c r="B6" s="34">
        <f>SUM('Матрица'!$S$3:$S$40)-SUMIF('Матрица'!$U$3:$U$40,"По триггеру*",'Матрица'!$S$3:$S$40)</f>
        <v/>
      </c>
      <c r="C6" s="34">
        <f>SUM('Матрица'!$T$3:$T$40)-SUMIF('Матрица'!$U$3:$U$40,"По триггеру*",'Матрица'!$T$3:$T$40)</f>
        <v/>
      </c>
      <c r="D6" s="34">
        <f>B6/5</f>
        <v/>
      </c>
      <c r="E6" s="34">
        <f>C6/5</f>
        <v/>
      </c>
      <c r="F6" s="35">
        <f>SUMIF('Матрица'!$U$3:$U$40,"ADR-600",'Матрица'!$S$3:$S$40)</f>
        <v/>
      </c>
      <c r="G6" s="35">
        <f>SUMIF('Матрица'!$U$3:$U$40,"ADR-600",'Матрица'!$T$3:$T$40)</f>
        <v/>
      </c>
      <c r="H6" s="36">
        <f>SUMIF('Матрица'!$U$3:$U$40,"Из блока*",'Матрица'!$S$3:$S$40)</f>
        <v/>
      </c>
      <c r="I6" s="36">
        <f>SUMIF('Матрица'!$U$3:$U$40,"Из блока*",'Матрица'!$T$3:$T$40)</f>
        <v/>
      </c>
      <c r="J6" s="37">
        <f>SUMIF('Матрица'!$U$3:$U$40,"Оценка автора",'Матрица'!$S$3:$S$40)</f>
        <v/>
      </c>
      <c r="K6" s="37">
        <f>SUMIF('Матрица'!$U$3:$U$40,"Оценка автора",'Матрица'!$T$3:$T$40)</f>
        <v/>
      </c>
      <c r="L6" s="34">
        <f>SUMIF('Матрица'!$U$3:$U$40,"По триггеру*",'Матрица'!$S$3:$S$40)</f>
        <v/>
      </c>
      <c r="M6" s="34">
        <f>SUMIF('Матрица'!$U$3:$U$40,"По триггеру*",'Матрица'!$T$3:$T$40)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SUMIF('Матрица'!$O$3:$O$40,"Из блока ADR-600: P0",'Матрица'!$M$3:$M$40)</f>
        <v/>
      </c>
      <c r="E15" s="34">
        <f>SUMIF('Матрица'!$O$3:$O$40,"Из блока ADR-600: P0",'Матрица'!$N$3:$N$40)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SUMIF('Матрица'!$O$3:$O$40,"Из блока ADR-600: Согласования",'Матрица'!$M$3:$M$40)</f>
        <v/>
      </c>
      <c r="E16" s="34">
        <f>SUMIF('Матрица'!$O$3:$O$40,"Из блока ADR-600: Согласования",'Матрица'!$N$3:$N$40)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SUMIF('Матрица'!$O$3:$O$40,"Из блока ADR-600: Качество поиска и классификации",'Матрица'!$M$3:$M$40)</f>
        <v/>
      </c>
      <c r="E17" s="34">
        <f>SUMIF('Матрица'!$O$3:$O$40,"Из блока ADR-600: Качество поиска и классификации",'Матрица'!$N$3:$N$40)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SUMIF('Матрица'!$O$3:$O$40,"Из блока ADR-600: Основная разработка Этапа 2",'Матрица'!$M$3:$M$40)</f>
        <v/>
      </c>
      <c r="E18" s="34">
        <f>SUMIF('Матрица'!$O$3:$O$40,"Из блока ADR-600: Основная разработка Этапа 2",'Матрица'!$N$3:$N$40)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SUMIF('Матрица'!$O$3:$O$40,"Из блока ADR-600: Документация и ИБ",'Матрица'!$M$3:$M$40)</f>
        <v/>
      </c>
      <c r="E19" s="34">
        <f>SUMIF('Матрица'!$O$3:$O$40,"Из блока ADR-600: Документация и ИБ",'Матрица'!$N$3:$N$40)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SUMIF('Матрица'!$O$3:$O$40,"Из блока ADR-600: Анализ типов на живых данных",'Матрица'!$M$3:$M$40)</f>
        <v/>
      </c>
      <c r="E20" s="34">
        <f>SUMIF('Матрица'!$O$3:$O$40,"Из блока ADR-600: Анализ типов на живых данных",'Матрица'!$N$3:$N$40)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Несколько задач в одной реплике (доработка после прототипа)</t>
        </is>
      </c>
      <c r="B21" s="34" t="n">
        <v>9</v>
      </c>
      <c r="C21" s="34" t="n">
        <v>14</v>
      </c>
      <c r="D21" s="34">
        <f>SUMIF('Матрица'!$O$3:$O$40,"Из блока ADR-600: Несколько задач в одной реплике (доработка после прототипа)",'Матрица'!$M$3:$M$40)</f>
        <v/>
      </c>
      <c r="E21" s="34">
        <f>SUMIF('Матрица'!$O$3:$O$40,"Из блока ADR-600: Несколько задач в одной реплике (доработка после прототипа)",'Матрица'!$N$3:$N$40)</f>
        <v/>
      </c>
      <c r="F21" s="44">
        <f>IF(AND(D21=B21,E21=C21),"да","НЕТ")</f>
        <v/>
      </c>
      <c r="G21" s="9" t="inlineStr">
        <is>
          <t>9–14 чел-дн (ADR-600): проверка детектора на репликах чата 3–4, несколько обращений из одной реплики 3–5, условия помимо долга 2–3, путь generate и лимиты 1–2</t>
        </is>
      </c>
    </row>
    <row r="22">
      <c r="A22" s="11" t="inlineStr">
        <is>
          <t>Проверка Guardrails и провайдеров на живых данных</t>
        </is>
      </c>
      <c r="B22" s="34" t="n">
        <v>11</v>
      </c>
      <c r="C22" s="34" t="n">
        <v>18</v>
      </c>
      <c r="D22" s="34">
        <f>SUMIF('Матрица'!$O$3:$O$40,"Из блока ADR-600: Проверка Guardrails и провайдеров на живых данных",'Матрица'!$M$3:$M$40)</f>
        <v/>
      </c>
      <c r="E22" s="34">
        <f>SUMIF('Матрица'!$O$3:$O$40,"Из блока ADR-600: Проверка Guardrails и провайдеров на живых данных",'Матрица'!$N$3:$N$40)</f>
        <v/>
      </c>
      <c r="F22" s="44">
        <f>IF(AND(D22=B22,E22=C22),"да","НЕТ")</f>
        <v/>
      </c>
      <c r="G22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3">
      <c r="A23" s="11" t="inlineStr">
        <is>
          <t>Итого по блокам</t>
        </is>
      </c>
      <c r="B23" s="38">
        <f>SUM(B15:B22)</f>
        <v/>
      </c>
      <c r="C23" s="38">
        <f>SUM(C15:C22)</f>
        <v/>
      </c>
      <c r="D23" s="38">
        <f>SUM(D15:D22)</f>
        <v/>
      </c>
      <c r="E23" s="38">
        <f>SUM(E15:E22)</f>
        <v/>
      </c>
      <c r="F23" s="45">
        <f>IF(AND(D23=B23,E23=C23),"да","НЕТ")</f>
        <v/>
      </c>
      <c r="G23" s="9" t="inlineStr">
        <is>
          <t>ADR-600 называет итог ≈22–33 недели (≈110–165 чел-дн); сумма блоков 108,5–164,5 — округление в самом ADR-600</t>
        </is>
      </c>
    </row>
    <row r="25">
      <c r="A25" s="43" t="inlineStr">
        <is>
          <t>Затраты, которые не выражаются человеко-днями</t>
        </is>
      </c>
    </row>
    <row r="26">
      <c r="A26" s="5" t="inlineStr">
        <is>
          <t>Контур</t>
        </is>
      </c>
      <c r="B26" s="5" t="inlineStr">
        <is>
          <t>Статья</t>
        </is>
      </c>
      <c r="C26" s="5" t="inlineStr">
        <is>
          <t>Значение / комментарий</t>
        </is>
      </c>
      <c r="D26" s="5" t="inlineStr">
        <is>
          <t>От</t>
        </is>
      </c>
      <c r="E26" s="5" t="inlineStr">
        <is>
          <t>До</t>
        </is>
      </c>
      <c r="F26" s="5" t="inlineStr">
        <is>
          <t>Единица</t>
        </is>
      </c>
      <c r="G26" s="5" t="inlineStr">
        <is>
          <t>Источник</t>
        </is>
      </c>
    </row>
    <row r="27">
      <c r="A27" s="11" t="inlineStr">
        <is>
          <t>MVP</t>
        </is>
      </c>
      <c r="B27" s="9" t="inlineStr">
        <is>
          <t>Токены генерации (YandexGPT Pro, 0,8 ₽ за 1000 токенов)</t>
        </is>
      </c>
      <c r="C27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7" s="42" t="n">
        <v>1234</v>
      </c>
      <c r="E27" s="42" t="n">
        <v>101280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Тираж</t>
        </is>
      </c>
      <c r="B28" s="9" t="inlineStr">
        <is>
          <t>Токены генерации и судьи качества (тариф YandexGPT Pro 0,8 ₽ за 1000 токенов)</t>
        </is>
      </c>
      <c r="C28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8" s="42" t="n">
        <v>3305</v>
      </c>
      <c r="E28" s="42" t="n">
        <v>1065600</v>
      </c>
      <c r="F28" s="9" t="inlineStr">
        <is>
          <t>₽/мес</t>
        </is>
      </c>
      <c r="G28" s="9" t="inlineStr">
        <is>
          <t>Capacity_Report; лист «Прогноз стоимости»</t>
        </is>
      </c>
    </row>
    <row r="29">
      <c r="A29" s="11" t="inlineStr">
        <is>
          <t>MVP</t>
        </is>
      </c>
      <c r="B29" s="9" t="inlineStr">
        <is>
          <t>GPU-сервер под эмбеддинги и реранкер (только если владелец добавит GPU-узел: в кластере GPU нет)</t>
        </is>
      </c>
      <c r="C29" s="9" t="inlineStr">
        <is>
          <t>Не оценён отдельной строкой сметы; скорость на GPU не измерялась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MVP</t>
        </is>
      </c>
      <c r="B30" s="9" t="inlineStr">
        <is>
          <t>Kubernetes-кластер, хранилища, наблюдаемость (железо, размещение, обслуживание)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1">
      <c r="A31" s="11" t="inlineStr">
        <is>
          <t>Тираж</t>
        </is>
      </c>
      <c r="B31" s="9" t="inlineStr">
        <is>
          <t>Карта A100 80 ГБ (покупка)</t>
        </is>
      </c>
      <c r="C31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1" s="42" t="n">
        <v>927000</v>
      </c>
      <c r="E31" s="42" t="n">
        <v>2368080</v>
      </c>
      <c r="F31" s="9" t="inlineStr">
        <is>
          <t>₽</t>
        </is>
      </c>
      <c r="G31" s="9" t="inlineStr">
        <is>
          <t>ADR-500</t>
        </is>
      </c>
    </row>
    <row r="32">
      <c r="A32" s="11" t="inlineStr">
        <is>
          <t>Тираж</t>
        </is>
      </c>
      <c r="B32" s="9" t="inlineStr">
        <is>
          <t>Сервер-хост, электричество, размещение, обслуживание GPU</t>
        </is>
      </c>
      <c r="C32" s="9" t="inlineStr">
        <is>
          <t>Не оценены</t>
        </is>
      </c>
      <c r="D32" s="42" t="n"/>
      <c r="E32" s="42" t="n"/>
      <c r="F32" s="9" t="inlineStr">
        <is>
          <t>₽</t>
        </is>
      </c>
      <c r="G32" s="9" t="inlineStr">
        <is>
          <t>ADR-500 (открытый пункт)</t>
        </is>
      </c>
    </row>
    <row r="34">
      <c r="A34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8">
        <f>'Матрица'!O26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'Матрица'!A35</f>
        <v/>
      </c>
      <c r="B41" s="9">
        <f>'Матрица'!C35</f>
        <v/>
      </c>
      <c r="C41" s="9" t="inlineStr">
        <is>
          <t>MVP</t>
        </is>
      </c>
      <c r="D41" s="34">
        <f>'Матрица'!M35</f>
        <v/>
      </c>
      <c r="E41" s="34">
        <f>'Матрица'!N35</f>
        <v/>
      </c>
      <c r="F41" s="18">
        <f>'Матрица'!O35</f>
        <v/>
      </c>
    </row>
    <row r="42">
      <c r="A42" s="9">
        <f>'Матрица'!A36</f>
        <v/>
      </c>
      <c r="B42" s="9">
        <f>'Матрица'!C36</f>
        <v/>
      </c>
      <c r="C42" s="9" t="inlineStr">
        <is>
          <t>MVP</t>
        </is>
      </c>
      <c r="D42" s="34">
        <f>'Матрица'!M36</f>
        <v/>
      </c>
      <c r="E42" s="34">
        <f>'Матрица'!N36</f>
        <v/>
      </c>
      <c r="F42" s="13">
        <f>'Матрица'!O36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8">
        <f>'Матрица'!O38</f>
        <v/>
      </c>
    </row>
    <row r="44">
      <c r="A44" s="9">
        <f>'Матрица'!A39</f>
        <v/>
      </c>
      <c r="B44" s="9">
        <f>'Матрица'!C39</f>
        <v/>
      </c>
      <c r="C44" s="9" t="inlineStr">
        <is>
          <t>MVP</t>
        </is>
      </c>
      <c r="D44" s="34">
        <f>'Матрица'!M39</f>
        <v/>
      </c>
      <c r="E44" s="34">
        <f>'Матрица'!N39</f>
        <v/>
      </c>
      <c r="F44" s="18">
        <f>'Матрица'!O39</f>
        <v/>
      </c>
    </row>
    <row r="45">
      <c r="A45" s="9">
        <f>'Матрица'!A40</f>
        <v/>
      </c>
      <c r="B45" s="9">
        <f>'Матрица'!C40</f>
        <v/>
      </c>
      <c r="C45" s="9" t="inlineStr">
        <is>
          <t>MVP</t>
        </is>
      </c>
      <c r="D45" s="34">
        <f>'Матрица'!M40</f>
        <v/>
      </c>
      <c r="E45" s="34">
        <f>'Матрица'!N40</f>
        <v/>
      </c>
      <c r="F45" s="18">
        <f>'Матрица'!O40</f>
        <v/>
      </c>
    </row>
    <row r="47">
      <c r="B47" s="43" t="inlineStr">
        <is>
          <t>Документы-источники</t>
        </is>
      </c>
    </row>
    <row r="48">
      <c r="B48" s="11" t="inlineStr">
        <is>
          <t>ADR-100</t>
        </is>
      </c>
      <c r="C48" s="9" t="inlineStr">
        <is>
          <t>Что сдано и что отложено; таблица «целевой компонент — замена на прототипе»</t>
        </is>
      </c>
    </row>
    <row r="49">
      <c r="B49" s="11" t="inlineStr">
        <is>
          <t>ADR-200</t>
        </is>
      </c>
      <c r="C49" s="9" t="inlineStr">
        <is>
          <t>Стек по слоям, альтернативы, сравнение Python/Go/Node.js</t>
        </is>
      </c>
    </row>
    <row r="50">
      <c r="B50" s="11" t="inlineStr">
        <is>
          <t>ADR-300</t>
        </is>
      </c>
      <c r="C50" s="9" t="inlineStr">
        <is>
          <t>Модели: классификация, эмбеддинги, реранкер, генерация, судья</t>
        </is>
      </c>
    </row>
    <row r="51">
      <c r="B51" s="11" t="inlineStr">
        <is>
          <t>ADR-400</t>
        </is>
      </c>
      <c r="C51" s="9" t="inlineStr">
        <is>
          <t>Безопасность по контурам, открытые пункты</t>
        </is>
      </c>
    </row>
    <row r="52">
      <c r="B52" s="11" t="inlineStr">
        <is>
          <t>ADR-500</t>
        </is>
      </c>
      <c r="C52" s="9" t="inlineStr">
        <is>
          <t>Ресурсы и стоимость: прототип, MVP, тираж</t>
        </is>
      </c>
    </row>
    <row r="53">
      <c r="B53" s="11" t="inlineStr">
        <is>
          <t>ADR-600</t>
        </is>
      </c>
      <c r="C53" s="9" t="inlineStr">
        <is>
          <t>План развития и укрупнённые оценки трудозатрат</t>
        </is>
      </c>
    </row>
    <row r="54">
      <c r="B54" s="11" t="inlineStr">
        <is>
          <t>C4_Deployment, C3/*</t>
        </is>
      </c>
      <c r="C54" s="9" t="inlineStr">
        <is>
          <t>Целевая схема развёртывания и компоненты</t>
        </is>
      </c>
    </row>
    <row r="55">
      <c r="B55" s="11" t="inlineStr">
        <is>
          <t>Код и docker-compose.yml</t>
        </is>
      </c>
      <c r="C55" s="9" t="inlineStr">
        <is>
          <t>Проверка колонки «Сейчас»</t>
        </is>
      </c>
    </row>
  </sheetData>
  <mergeCells count="16">
    <mergeCell ref="C52:F52"/>
    <mergeCell ref="C9:F9"/>
    <mergeCell ref="C53:F53"/>
    <mergeCell ref="C48:F48"/>
    <mergeCell ref="C3:F3"/>
    <mergeCell ref="C8:F8"/>
    <mergeCell ref="C49:F49"/>
    <mergeCell ref="C4:F4"/>
    <mergeCell ref="C6:F6"/>
    <mergeCell ref="C7:F7"/>
    <mergeCell ref="C54:F54"/>
    <mergeCell ref="C51:F51"/>
    <mergeCell ref="C10:F10"/>
    <mergeCell ref="C5:F5"/>
    <mergeCell ref="C55:F5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10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«Sizing», базовый вариант без GPU: в кластере владельца GPU нет): MVP — 6 узлов (4 общих 8 vCPU/16 ГиБ, 2 данных 8 vCPU/32 ГиБ), тираж — 7 (+1 узел под собственную модель с A100 80 ГБ). Вариант с GPU-узлом: 6 и 8 узлов (3 общих, 2 данных, 1 GPU; на тираже ещё узел под модель). Диск под тома ≈172 ГиБ на MVP и ≈663 ГиБ на тираже. Расчёт для отдельного кластера — верхняя оценка для общего.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showGridLines="0"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GPU в кластере</t>
        </is>
      </c>
      <c r="C8" s="9" t="inlineStr">
        <is>
          <t>В кластере владельца, где уже работает личный кабинет, GPU-узлов нет (со слов заказчика проекта). Базовый вариант расчёта — **без GPU**: эмбеддинги `multilingual-e5-small` на CPU (36–37 мс на запрос, замер), реранкер выключен (на CPU 7,2 с), индексация считает эмбеддинги на CPU. Вариант **с GPU** — покупка и подключение узла к кластеру: владелец решит только после проверки на реальных данных (цена не оценена); переключатель на листе «Sizing».</t>
        </is>
      </c>
    </row>
    <row r="9" ht="32" customHeight="1">
      <c r="B9" s="11" t="inlineStr">
        <is>
          <t>Узлы</t>
        </is>
      </c>
      <c r="C9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0">
      <c r="B10" s="11" t="inlineStr">
        <is>
          <t>GPU-узел в кластере (1 — есть, 0 — нет)</t>
        </is>
      </c>
      <c r="C10" s="51" t="n">
        <v>0</v>
      </c>
    </row>
    <row r="12">
      <c r="D12" s="52" t="inlineStr">
        <is>
          <t>MVP</t>
        </is>
      </c>
      <c r="M12" s="52" t="inlineStr">
        <is>
          <t>Тираж</t>
        </is>
      </c>
    </row>
    <row r="13">
      <c r="A13" s="5" t="inlineStr">
        <is>
          <t>№</t>
        </is>
      </c>
      <c r="B13" s="5" t="inlineStr">
        <is>
          <t>Пул</t>
        </is>
      </c>
      <c r="C13" s="5" t="inlineStr">
        <is>
          <t>Компонент</t>
        </is>
      </c>
      <c r="D13" s="5" t="inlineStr">
        <is>
          <t>Реплик</t>
        </is>
      </c>
      <c r="E13" s="5" t="inlineStr">
        <is>
          <t>vCPU на под</t>
        </is>
      </c>
      <c r="F13" s="5" t="inlineStr">
        <is>
          <t>ОЗУ, ГиБ на под</t>
        </is>
      </c>
      <c r="G13" s="5" t="inlineStr">
        <is>
          <t>Диск, ГиБ на под</t>
        </is>
      </c>
      <c r="H13" s="5" t="inlineStr">
        <is>
          <t>Видеопамять, ГиБ на под</t>
        </is>
      </c>
      <c r="I13" s="5" t="inlineStr">
        <is>
          <t>vCPU всего</t>
        </is>
      </c>
      <c r="J13" s="5" t="inlineStr">
        <is>
          <t>ОЗУ всего, ГиБ</t>
        </is>
      </c>
      <c r="K13" s="5" t="inlineStr">
        <is>
          <t>Диск всего, ГиБ</t>
        </is>
      </c>
      <c r="L13" s="5" t="inlineStr">
        <is>
          <t>Видеопамять всего, ГиБ</t>
        </is>
      </c>
      <c r="M13" s="5" t="inlineStr">
        <is>
          <t>Реплик</t>
        </is>
      </c>
      <c r="N13" s="5" t="inlineStr">
        <is>
          <t>vCPU на под</t>
        </is>
      </c>
      <c r="O13" s="5" t="inlineStr">
        <is>
          <t>ОЗУ, ГиБ на под</t>
        </is>
      </c>
      <c r="P13" s="5" t="inlineStr">
        <is>
          <t>Диск, ГиБ на под</t>
        </is>
      </c>
      <c r="Q13" s="5" t="inlineStr">
        <is>
          <t>Видеопамять, ГиБ на под</t>
        </is>
      </c>
      <c r="R13" s="5" t="inlineStr">
        <is>
          <t>vCPU всего</t>
        </is>
      </c>
      <c r="S13" s="5" t="inlineStr">
        <is>
          <t>ОЗУ всего, ГиБ</t>
        </is>
      </c>
      <c r="T13" s="5" t="inlineStr">
        <is>
          <t>Диск всего, ГиБ</t>
        </is>
      </c>
      <c r="U13" s="5" t="inlineStr">
        <is>
          <t>Видеопамять всего, ГиБ</t>
        </is>
      </c>
      <c r="V13" s="5" t="inlineStr">
        <is>
          <t>Основание</t>
        </is>
      </c>
    </row>
    <row r="14" ht="30" customHeight="1">
      <c r="A14" s="50" t="n">
        <v>1</v>
      </c>
      <c r="B14" s="9" t="inlineStr">
        <is>
          <t>general</t>
        </is>
      </c>
      <c r="C14" s="11" t="inlineStr">
        <is>
          <t>Ingress (nginx)</t>
        </is>
      </c>
      <c r="D14" s="51" t="n">
        <v>2</v>
      </c>
      <c r="E14" s="51" t="n">
        <v>0.25</v>
      </c>
      <c r="F14" s="51" t="n">
        <v>0.25</v>
      </c>
      <c r="G14" s="51" t="n">
        <v>0</v>
      </c>
      <c r="H14" s="51" t="n">
        <v>0</v>
      </c>
      <c r="I14" s="53">
        <f>D14*E14</f>
        <v/>
      </c>
      <c r="J14" s="53">
        <f>D14*F14</f>
        <v/>
      </c>
      <c r="K14" s="53">
        <f>D14*G14</f>
        <v/>
      </c>
      <c r="L14" s="53">
        <f>D14*H14</f>
        <v/>
      </c>
      <c r="M14" s="51" t="n">
        <v>2</v>
      </c>
      <c r="N14" s="51" t="n">
        <v>0.25</v>
      </c>
      <c r="O14" s="51" t="n">
        <v>0.25</v>
      </c>
      <c r="P14" s="51" t="n">
        <v>0</v>
      </c>
      <c r="Q14" s="51" t="n">
        <v>0</v>
      </c>
      <c r="R14" s="53">
        <f>M14*N14</f>
        <v/>
      </c>
      <c r="S14" s="53">
        <f>M14*O14</f>
        <v/>
      </c>
      <c r="T14" s="53">
        <f>M14*P14</f>
        <v/>
      </c>
      <c r="U14" s="53">
        <f>M14*Q14</f>
        <v/>
      </c>
      <c r="V14" s="9" t="inlineStr">
        <is>
          <t>Допущение. Внешний трафик — единицы запросов в секунду.</t>
        </is>
      </c>
    </row>
    <row r="15" ht="30" customHeight="1">
      <c r="A15" s="50" t="n">
        <v>2</v>
      </c>
      <c r="B15" s="9" t="inlineStr">
        <is>
          <t>general</t>
        </is>
      </c>
      <c r="C15" s="11" t="inlineStr">
        <is>
          <t>Vault</t>
        </is>
      </c>
      <c r="D15" s="51" t="n">
        <v>1</v>
      </c>
      <c r="E15" s="51" t="n">
        <v>0.25</v>
      </c>
      <c r="F15" s="51" t="n">
        <v>0.25</v>
      </c>
      <c r="G15" s="51" t="n">
        <v>1</v>
      </c>
      <c r="H15" s="51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1" t="n">
        <v>1</v>
      </c>
      <c r="N15" s="51" t="n">
        <v>0.25</v>
      </c>
      <c r="O15" s="51" t="n">
        <v>0.25</v>
      </c>
      <c r="P15" s="51" t="n">
        <v>1</v>
      </c>
      <c r="Q15" s="51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Допущение. Инжектор секретов и cert-manager — отдельной строкой не выделены (≈0,1 vCPU / 0,1 ГиБ).</t>
        </is>
      </c>
    </row>
    <row r="16" ht="30" customHeight="1">
      <c r="A16" s="50" t="n">
        <v>3</v>
      </c>
      <c r="B16" s="9" t="inlineStr">
        <is>
          <t>general</t>
        </is>
      </c>
      <c r="C16" s="11" t="inlineStr">
        <is>
          <t>AI-виджет (статические файлы)</t>
        </is>
      </c>
      <c r="D16" s="51" t="n">
        <v>2</v>
      </c>
      <c r="E16" s="51" t="n">
        <v>0.1</v>
      </c>
      <c r="F16" s="51" t="n">
        <v>0.1</v>
      </c>
      <c r="G16" s="51" t="n">
        <v>0</v>
      </c>
      <c r="H16" s="51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1" t="n">
        <v>2</v>
      </c>
      <c r="N16" s="51" t="n">
        <v>0.1</v>
      </c>
      <c r="O16" s="51" t="n">
        <v>0.1</v>
      </c>
      <c r="P16" s="51" t="n">
        <v>0</v>
      </c>
      <c r="Q16" s="51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Допущение. На стенде три статических файла.</t>
        </is>
      </c>
    </row>
    <row r="17" ht="30" customHeight="1">
      <c r="A17" s="50" t="n">
        <v>4</v>
      </c>
      <c r="B17" s="9" t="inlineStr">
        <is>
          <t>general</t>
        </is>
      </c>
      <c r="C17" s="11" t="inlineStr">
        <is>
          <t>Backend (API, классификация, поиск, сборка ответа)</t>
        </is>
      </c>
      <c r="D17" s="51" t="n">
        <v>2</v>
      </c>
      <c r="E17" s="51" t="n">
        <v>0.5</v>
      </c>
      <c r="F17" s="51" t="n">
        <v>0.5</v>
      </c>
      <c r="G17" s="51" t="n">
        <v>0</v>
      </c>
      <c r="H17" s="51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1" t="n">
        <v>3</v>
      </c>
      <c r="N17" s="51" t="n">
        <v>1</v>
      </c>
      <c r="O17" s="51" t="n">
        <v>1</v>
      </c>
      <c r="P17" s="51" t="n">
        <v>0</v>
      </c>
      <c r="Q17" s="51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8" ht="45" customHeight="1">
      <c r="A18" s="50" t="n">
        <v>5</v>
      </c>
      <c r="B18" s="9" t="inlineStr">
        <is>
          <t>general</t>
        </is>
      </c>
      <c r="C18" s="11" t="inlineStr">
        <is>
          <t>LLM Gateway (лимиты, обезличивание, проверка ответа)</t>
        </is>
      </c>
      <c r="D18" s="51" t="n">
        <v>2</v>
      </c>
      <c r="E18" s="51" t="n">
        <v>0.5</v>
      </c>
      <c r="F18" s="51" t="n">
        <v>1.5</v>
      </c>
      <c r="G18" s="51" t="n">
        <v>0</v>
      </c>
      <c r="H18" s="51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1" t="n">
        <v>3</v>
      </c>
      <c r="N18" s="51" t="n">
        <v>1</v>
      </c>
      <c r="O18" s="51" t="n">
        <v>1.5</v>
      </c>
      <c r="P18" s="51" t="n">
        <v>0</v>
      </c>
      <c r="Q18" s="51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19" ht="30" customHeight="1">
      <c r="A19" s="50" t="n">
        <v>6</v>
      </c>
      <c r="B19" s="9" t="inlineStr">
        <is>
          <t>general</t>
        </is>
      </c>
      <c r="C19" s="11" t="inlineStr">
        <is>
          <t>Billing Adapter, оркестратор записи (Этап 2)</t>
        </is>
      </c>
      <c r="D19" s="51" t="n">
        <v>2</v>
      </c>
      <c r="E19" s="51" t="n">
        <v>0.25</v>
      </c>
      <c r="F19" s="51" t="n">
        <v>0.25</v>
      </c>
      <c r="G19" s="51" t="n">
        <v>0</v>
      </c>
      <c r="H19" s="51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1" t="n">
        <v>2</v>
      </c>
      <c r="N19" s="51" t="n">
        <v>0.25</v>
      </c>
      <c r="O19" s="51" t="n">
        <v>0.25</v>
      </c>
      <c r="P19" s="51" t="n">
        <v>0</v>
      </c>
      <c r="Q19" s="51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20" ht="30" customHeight="1">
      <c r="A20" s="50" t="n">
        <v>7</v>
      </c>
      <c r="B20" s="9" t="inlineStr">
        <is>
          <t>general</t>
        </is>
      </c>
      <c r="C20" s="11" t="inlineStr">
        <is>
          <t>Document Generator (PDF, Этап 2)</t>
        </is>
      </c>
      <c r="D20" s="51" t="n">
        <v>1</v>
      </c>
      <c r="E20" s="51" t="n">
        <v>0.5</v>
      </c>
      <c r="F20" s="51" t="n">
        <v>1</v>
      </c>
      <c r="G20" s="51" t="n">
        <v>0</v>
      </c>
      <c r="H20" s="51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1" t="n">
        <v>2</v>
      </c>
      <c r="N20" s="51" t="n">
        <v>0.5</v>
      </c>
      <c r="O20" s="51" t="n">
        <v>1</v>
      </c>
      <c r="P20" s="51" t="n">
        <v>0</v>
      </c>
      <c r="Q20" s="51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Библиотека PDF не выбрана; ≈1 бланк на диалог с записью (до 31 500 в месяц на тираже).</t>
        </is>
      </c>
    </row>
    <row r="21" ht="30" customHeight="1">
      <c r="A21" s="50" t="n">
        <v>8</v>
      </c>
      <c r="B21" s="9" t="inlineStr">
        <is>
          <t>general</t>
        </is>
      </c>
      <c r="C21" s="11" t="inlineStr">
        <is>
          <t>ETL индексации (CronJob, окно 02:00–05:00) [вариант с GPU]</t>
        </is>
      </c>
      <c r="D21" s="51">
        <f>1*$C$10</f>
        <v/>
      </c>
      <c r="E21" s="51" t="n">
        <v>1</v>
      </c>
      <c r="F21" s="51" t="n">
        <v>2</v>
      </c>
      <c r="G21" s="51" t="n">
        <v>5</v>
      </c>
      <c r="H21" s="51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1">
        <f>1*$C$10</f>
        <v/>
      </c>
      <c r="N21" s="51" t="n">
        <v>1</v>
      </c>
      <c r="O21" s="51" t="n">
        <v>2</v>
      </c>
      <c r="P21" s="51" t="n">
        <v>5</v>
      </c>
      <c r="Q21" s="51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2" ht="30" customHeight="1">
      <c r="A22" s="50" t="n">
        <v>9</v>
      </c>
      <c r="B22" s="9" t="inlineStr">
        <is>
          <t>general</t>
        </is>
      </c>
      <c r="C22" s="11" t="inlineStr">
        <is>
          <t>Оценка качества (CronJob, ночной прогон)</t>
        </is>
      </c>
      <c r="D22" s="51" t="n">
        <v>1</v>
      </c>
      <c r="E22" s="51" t="n">
        <v>0.5</v>
      </c>
      <c r="F22" s="51" t="n">
        <v>1</v>
      </c>
      <c r="G22" s="51" t="n">
        <v>0</v>
      </c>
      <c r="H22" s="51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1" t="n">
        <v>1</v>
      </c>
      <c r="N22" s="51" t="n">
        <v>0.5</v>
      </c>
      <c r="O22" s="51" t="n">
        <v>1</v>
      </c>
      <c r="P22" s="51" t="n">
        <v>0</v>
      </c>
      <c r="Q22" s="51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 Ходит во внешний API судьи; локальной нагрузки почти нет.</t>
        </is>
      </c>
    </row>
    <row r="23" ht="30" customHeight="1">
      <c r="A23" s="50" t="n">
        <v>10</v>
      </c>
      <c r="B23" s="9" t="inlineStr">
        <is>
          <t>general</t>
        </is>
      </c>
      <c r="C23" s="11" t="inlineStr">
        <is>
          <t>Prometheus</t>
        </is>
      </c>
      <c r="D23" s="51" t="n">
        <v>1</v>
      </c>
      <c r="E23" s="51" t="n">
        <v>0.5</v>
      </c>
      <c r="F23" s="51" t="n">
        <v>1</v>
      </c>
      <c r="G23" s="51" t="n">
        <v>10</v>
      </c>
      <c r="H23" s="51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1" t="n">
        <v>1</v>
      </c>
      <c r="N23" s="51" t="n">
        <v>0.5</v>
      </c>
      <c r="O23" s="51" t="n">
        <v>1</v>
      </c>
      <c r="P23" s="51" t="n">
        <v>10</v>
      </c>
      <c r="Q23" s="51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4" ht="30" customHeight="1">
      <c r="A24" s="50" t="n">
        <v>11</v>
      </c>
      <c r="B24" s="9" t="inlineStr">
        <is>
          <t>general</t>
        </is>
      </c>
      <c r="C24" s="11" t="inlineStr">
        <is>
          <t>Grafana</t>
        </is>
      </c>
      <c r="D24" s="51" t="n">
        <v>1</v>
      </c>
      <c r="E24" s="51" t="n">
        <v>0.25</v>
      </c>
      <c r="F24" s="51" t="n">
        <v>0.25</v>
      </c>
      <c r="G24" s="51" t="n">
        <v>1</v>
      </c>
      <c r="H24" s="51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1" t="n">
        <v>1</v>
      </c>
      <c r="N24" s="51" t="n">
        <v>0.25</v>
      </c>
      <c r="O24" s="51" t="n">
        <v>0.25</v>
      </c>
      <c r="P24" s="51" t="n">
        <v>1</v>
      </c>
      <c r="Q24" s="51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45" customHeight="1">
      <c r="A25" s="50" t="n">
        <v>12</v>
      </c>
      <c r="B25" s="9" t="inlineStr">
        <is>
          <t>general</t>
        </is>
      </c>
      <c r="C25" s="11" t="inlineStr">
        <is>
          <t>Loki</t>
        </is>
      </c>
      <c r="D25" s="51" t="n">
        <v>1</v>
      </c>
      <c r="E25" s="51" t="n">
        <v>0.5</v>
      </c>
      <c r="F25" s="51" t="n">
        <v>1</v>
      </c>
      <c r="G25" s="51" t="n">
        <v>20</v>
      </c>
      <c r="H25" s="51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1" t="n">
        <v>1</v>
      </c>
      <c r="N25" s="51" t="n">
        <v>0.5</v>
      </c>
      <c r="O25" s="51" t="n">
        <v>1</v>
      </c>
      <c r="P25" s="51" t="n">
        <v>20</v>
      </c>
      <c r="Q25" s="51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6" ht="30" customHeight="1">
      <c r="A26" s="50" t="n">
        <v>13</v>
      </c>
      <c r="B26" s="9" t="inlineStr">
        <is>
          <t>general</t>
        </is>
      </c>
      <c r="C26" s="11" t="inlineStr">
        <is>
          <t>Alertmanager</t>
        </is>
      </c>
      <c r="D26" s="51" t="n">
        <v>1</v>
      </c>
      <c r="E26" s="51" t="n">
        <v>0.1</v>
      </c>
      <c r="F26" s="51" t="n">
        <v>0.1</v>
      </c>
      <c r="G26" s="51" t="n">
        <v>0</v>
      </c>
      <c r="H26" s="51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1" t="n">
        <v>1</v>
      </c>
      <c r="N26" s="51" t="n">
        <v>0.1</v>
      </c>
      <c r="O26" s="51" t="n">
        <v>0.1</v>
      </c>
      <c r="P26" s="51" t="n">
        <v>0</v>
      </c>
      <c r="Q26" s="51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Допущение.</t>
        </is>
      </c>
    </row>
    <row r="27" ht="60" customHeight="1">
      <c r="A27" s="50" t="n">
        <v>14</v>
      </c>
      <c r="B27" s="9" t="inlineStr">
        <is>
          <t>data</t>
        </is>
      </c>
      <c r="C27" s="11" t="inlineStr">
        <is>
          <t>Qdrant</t>
        </is>
      </c>
      <c r="D27" s="51" t="n">
        <v>1</v>
      </c>
      <c r="E27" s="51" t="n">
        <v>1</v>
      </c>
      <c r="F27" s="51" t="n">
        <v>2</v>
      </c>
      <c r="G27" s="51" t="n">
        <v>10</v>
      </c>
      <c r="H27" s="51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1" t="n">
        <v>2</v>
      </c>
      <c r="N27" s="51" t="n">
        <v>1</v>
      </c>
      <c r="O27" s="51" t="n">
        <v>2</v>
      </c>
      <c r="P27" s="51" t="n">
        <v>10</v>
      </c>
      <c r="Q27" s="51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8" ht="90" customHeight="1">
      <c r="A28" s="50" t="n">
        <v>15</v>
      </c>
      <c r="B28" s="9" t="inlineStr">
        <is>
          <t>data</t>
        </is>
      </c>
      <c r="C28" s="11" t="inlineStr">
        <is>
          <t>Postgres (обращения, профиль, телеметрия, журнал диалогов)</t>
        </is>
      </c>
      <c r="D28" s="51" t="n">
        <v>1</v>
      </c>
      <c r="E28" s="51" t="n">
        <v>1</v>
      </c>
      <c r="F28" s="51" t="n">
        <v>2</v>
      </c>
      <c r="G28" s="51" t="n">
        <v>20</v>
      </c>
      <c r="H28" s="51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1" t="n">
        <v>2</v>
      </c>
      <c r="N28" s="51" t="n">
        <v>1</v>
      </c>
      <c r="O28" s="51" t="n">
        <v>2</v>
      </c>
      <c r="P28" s="51" t="n">
        <v>50</v>
      </c>
      <c r="Q28" s="51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9" ht="45" customHeight="1">
      <c r="A29" s="50" t="n">
        <v>16</v>
      </c>
      <c r="B29" s="9" t="inlineStr">
        <is>
          <t>data</t>
        </is>
      </c>
      <c r="C29" s="11" t="inlineStr">
        <is>
          <t>Redis (квоты и сессии)</t>
        </is>
      </c>
      <c r="D29" s="51" t="n">
        <v>1</v>
      </c>
      <c r="E29" s="51" t="n">
        <v>0.1</v>
      </c>
      <c r="F29" s="51" t="n">
        <v>0.25</v>
      </c>
      <c r="G29" s="51" t="n">
        <v>1</v>
      </c>
      <c r="H29" s="51" t="n">
        <v>0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1" t="n">
        <v>2</v>
      </c>
      <c r="N29" s="51" t="n">
        <v>0.1</v>
      </c>
      <c r="O29" s="51" t="n">
        <v>0.25</v>
      </c>
      <c r="P29" s="51" t="n">
        <v>1</v>
      </c>
      <c r="Q29" s="51" t="n">
        <v>0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30" ht="45" customHeight="1">
      <c r="A30" s="50" t="n">
        <v>17</v>
      </c>
      <c r="B30" s="9" t="inlineStr">
        <is>
          <t>data</t>
        </is>
      </c>
      <c r="C30" s="11" t="inlineStr">
        <is>
          <t>MinIO (документы, копии, снимки)</t>
        </is>
      </c>
      <c r="D30" s="51" t="n">
        <v>1</v>
      </c>
      <c r="E30" s="51" t="n">
        <v>0.25</v>
      </c>
      <c r="F30" s="51" t="n">
        <v>0.5</v>
      </c>
      <c r="G30" s="51" t="n">
        <v>100</v>
      </c>
      <c r="H30" s="51" t="n">
        <v>0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1" t="n">
        <v>1</v>
      </c>
      <c r="N30" s="51" t="n">
        <v>0.5</v>
      </c>
      <c r="O30" s="51" t="n">
        <v>1</v>
      </c>
      <c r="P30" s="51" t="n">
        <v>400</v>
      </c>
      <c r="Q30" s="51" t="n">
        <v>0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31" ht="30" customHeight="1">
      <c r="A31" s="50" t="n">
        <v>18</v>
      </c>
      <c r="B31" s="9" t="inlineStr">
        <is>
          <t>gpu</t>
        </is>
      </c>
      <c r="C31" s="11" t="inlineStr">
        <is>
          <t>Эмбеддинги (BGE-M3, inference) [вариант с GPU]</t>
        </is>
      </c>
      <c r="D31" s="51">
        <f>1*$C$10</f>
        <v/>
      </c>
      <c r="E31" s="51" t="n">
        <v>1</v>
      </c>
      <c r="F31" s="51" t="n">
        <v>4</v>
      </c>
      <c r="G31" s="51" t="n">
        <v>5</v>
      </c>
      <c r="H31" s="51" t="n">
        <v>2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1">
        <f>1*$C$10</f>
        <v/>
      </c>
      <c r="N31" s="51" t="n">
        <v>1</v>
      </c>
      <c r="O31" s="51" t="n">
        <v>4</v>
      </c>
      <c r="P31" s="51" t="n">
        <v>5</v>
      </c>
      <c r="Q31" s="51" t="n">
        <v>2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2" ht="30" customHeight="1">
      <c r="A32" s="50" t="n">
        <v>19</v>
      </c>
      <c r="B32" s="9" t="inlineStr">
        <is>
          <t>gpu</t>
        </is>
      </c>
      <c r="C32" s="11" t="inlineStr">
        <is>
          <t>Реранкер (BGE-reranker-v2-m3, inference) [вариант с GPU]</t>
        </is>
      </c>
      <c r="D32" s="51">
        <f>1*$C$10</f>
        <v/>
      </c>
      <c r="E32" s="51" t="n">
        <v>1</v>
      </c>
      <c r="F32" s="51" t="n">
        <v>3</v>
      </c>
      <c r="G32" s="51" t="n">
        <v>3</v>
      </c>
      <c r="H32" s="51" t="n">
        <v>1.5</v>
      </c>
      <c r="I32" s="53">
        <f>D32*E32</f>
        <v/>
      </c>
      <c r="J32" s="53">
        <f>D32*F32</f>
        <v/>
      </c>
      <c r="K32" s="53">
        <f>D32*G32</f>
        <v/>
      </c>
      <c r="L32" s="53">
        <f>D32*H32</f>
        <v/>
      </c>
      <c r="M32" s="51">
        <f>1*$C$10</f>
        <v/>
      </c>
      <c r="N32" s="51" t="n">
        <v>1</v>
      </c>
      <c r="O32" s="51" t="n">
        <v>3</v>
      </c>
      <c r="P32" s="51" t="n">
        <v>3</v>
      </c>
      <c r="Q32" s="51" t="n">
        <v>1.5</v>
      </c>
      <c r="R32" s="53">
        <f>M32*N32</f>
        <v/>
      </c>
      <c r="S32" s="53">
        <f>M32*O32</f>
        <v/>
      </c>
      <c r="T32" s="53">
        <f>M32*P32</f>
        <v/>
      </c>
      <c r="U32" s="53">
        <f>M32*Q32</f>
        <v/>
      </c>
      <c r="V32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3" ht="30" customHeight="1">
      <c r="A33" s="50" t="n">
        <v>20</v>
      </c>
      <c r="B33" s="9" t="inlineStr">
        <is>
          <t>gpu-llm</t>
        </is>
      </c>
      <c r="C33" s="11" t="inlineStr">
        <is>
          <t>Собственная модель (Qwen2.5-32B INT4, vLLM) — по триггеру</t>
        </is>
      </c>
      <c r="D33" s="51" t="n">
        <v>0</v>
      </c>
      <c r="E33" s="51" t="n">
        <v>8</v>
      </c>
      <c r="F33" s="51" t="n">
        <v>64</v>
      </c>
      <c r="G33" s="51" t="n">
        <v>100</v>
      </c>
      <c r="H33" s="51" t="n">
        <v>0</v>
      </c>
      <c r="I33" s="53">
        <f>D33*E33</f>
        <v/>
      </c>
      <c r="J33" s="53">
        <f>D33*F33</f>
        <v/>
      </c>
      <c r="K33" s="53">
        <f>D33*G33</f>
        <v/>
      </c>
      <c r="L33" s="53">
        <f>D33*H33</f>
        <v/>
      </c>
      <c r="M33" s="51" t="n">
        <v>1</v>
      </c>
      <c r="N33" s="51" t="n">
        <v>8</v>
      </c>
      <c r="O33" s="51" t="n">
        <v>64</v>
      </c>
      <c r="P33" s="51" t="n">
        <v>100</v>
      </c>
      <c r="Q33" s="51" t="n">
        <v>40</v>
      </c>
      <c r="R33" s="53">
        <f>M33*N33</f>
        <v/>
      </c>
      <c r="S33" s="53">
        <f>M33*O33</f>
        <v/>
      </c>
      <c r="T33" s="53">
        <f>M33*P33</f>
        <v/>
      </c>
      <c r="U33" s="53">
        <f>M33*Q33</f>
        <v/>
      </c>
      <c r="V33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4" ht="45" customHeight="1">
      <c r="A34" s="50" t="n">
        <v>21</v>
      </c>
      <c r="B34" s="9" t="inlineStr">
        <is>
          <t>general</t>
        </is>
      </c>
      <c r="C34" s="11" t="inlineStr">
        <is>
          <t>Эмбеддинги (e5-small на CPU) [вариант без GPU]</t>
        </is>
      </c>
      <c r="D34" s="51">
        <f>2*(1-$C$10)</f>
        <v/>
      </c>
      <c r="E34" s="51" t="n">
        <v>1</v>
      </c>
      <c r="F34" s="51" t="n">
        <v>1.5</v>
      </c>
      <c r="G34" s="51" t="n">
        <v>2</v>
      </c>
      <c r="H34" s="51" t="n">
        <v>0</v>
      </c>
      <c r="I34" s="53">
        <f>D34*E34</f>
        <v/>
      </c>
      <c r="J34" s="53">
        <f>D34*F34</f>
        <v/>
      </c>
      <c r="K34" s="53">
        <f>D34*G34</f>
        <v/>
      </c>
      <c r="L34" s="53">
        <f>D34*H34</f>
        <v/>
      </c>
      <c r="M34" s="51">
        <f>2*(1-$C$10)</f>
        <v/>
      </c>
      <c r="N34" s="51" t="n">
        <v>1</v>
      </c>
      <c r="O34" s="51" t="n">
        <v>1.5</v>
      </c>
      <c r="P34" s="51" t="n">
        <v>2</v>
      </c>
      <c r="Q34" s="51" t="n">
        <v>0</v>
      </c>
      <c r="R34" s="53">
        <f>M34*N34</f>
        <v/>
      </c>
      <c r="S34" s="53">
        <f>M34*O34</f>
        <v/>
      </c>
      <c r="T34" s="53">
        <f>M34*P34</f>
        <v/>
      </c>
      <c r="U34" s="53">
        <f>M34*Q34</f>
        <v/>
      </c>
      <c r="V34" s="9" t="inlineStr">
        <is>
          <t>Замер: e5-small — 36–37 мс на запрос на CPU и +300 МиБ ОЗУ; BGE-M3 на CPU (300 мс) в бюджет 100 мс не укладывается, реранкер на CPU (7,2 с) не годится и выключен. 2 реплики для отказоустойчивости. Только в варианте без GPU.</t>
        </is>
      </c>
    </row>
    <row r="35" ht="45" customHeight="1">
      <c r="A35" s="50" t="n">
        <v>22</v>
      </c>
      <c r="B35" s="9" t="inlineStr">
        <is>
          <t>general</t>
        </is>
      </c>
      <c r="C35" s="11" t="inlineStr">
        <is>
          <t>ETL индексации: эмбеддинги на CPU (CronJob) [вариант без GPU]</t>
        </is>
      </c>
      <c r="D35" s="51">
        <f>1*(1-$C$10)</f>
        <v/>
      </c>
      <c r="E35" s="51" t="n">
        <v>4</v>
      </c>
      <c r="F35" s="51" t="n">
        <v>4</v>
      </c>
      <c r="G35" s="51" t="n">
        <v>5</v>
      </c>
      <c r="H35" s="51" t="n">
        <v>0</v>
      </c>
      <c r="I35" s="53">
        <f>D35*E35</f>
        <v/>
      </c>
      <c r="J35" s="53">
        <f>D35*F35</f>
        <v/>
      </c>
      <c r="K35" s="53">
        <f>D35*G35</f>
        <v/>
      </c>
      <c r="L35" s="53">
        <f>D35*H35</f>
        <v/>
      </c>
      <c r="M35" s="51">
        <f>1*(1-$C$10)</f>
        <v/>
      </c>
      <c r="N35" s="51" t="n">
        <v>4</v>
      </c>
      <c r="O35" s="51" t="n">
        <v>4</v>
      </c>
      <c r="P35" s="51" t="n">
        <v>5</v>
      </c>
      <c r="Q35" s="51" t="n">
        <v>0</v>
      </c>
      <c r="R35" s="53">
        <f>M35*N35</f>
        <v/>
      </c>
      <c r="S35" s="53">
        <f>M35*O35</f>
        <v/>
      </c>
      <c r="T35" s="53">
        <f>M35*P35</f>
        <v/>
      </c>
      <c r="U35" s="53">
        <f>M35*Q35</f>
        <v/>
      </c>
      <c r="V35" s="9" t="inlineStr">
        <is>
          <t>Расчёт по замеру: e5-small ≈27 мс на часть (машина с 12 потоками) → 30–100 тыс. частей ≈14–46 мин; на поде с 4 vCPU время не измерялось и может быть в 2–3 раза больше (окно 3 часа). Только в варианте без GPU.</t>
        </is>
      </c>
    </row>
    <row r="37">
      <c r="C37" s="43" t="inlineStr">
        <is>
          <t>Итог по пулам узлов</t>
        </is>
      </c>
      <c r="P37" s="9" t="inlineStr">
        <is>
          <t>Загрузка узла по запросам, не выше</t>
        </is>
      </c>
      <c r="Q37" s="54" t="n">
        <v>0.7</v>
      </c>
    </row>
    <row r="38">
      <c r="B38" s="5" t="inlineStr">
        <is>
          <t>Пул</t>
        </is>
      </c>
      <c r="C38" s="5" t="inlineStr">
        <is>
          <t>Класс узла</t>
        </is>
      </c>
      <c r="D38" s="5" t="inlineStr">
        <is>
          <t>vCPU узла</t>
        </is>
      </c>
      <c r="E38" s="5" t="inlineStr">
        <is>
          <t>ОЗУ узла, ГиБ</t>
        </is>
      </c>
      <c r="F38" s="5" t="inlineStr">
        <is>
          <t>Видеопамять узла, ГиБ</t>
        </is>
      </c>
      <c r="G38" s="5" t="inlineStr">
        <is>
          <t>Запас на потерю узла (1 — да)</t>
        </is>
      </c>
      <c r="H38" s="5" t="inlineStr">
        <is>
          <t>MVP: vCPU</t>
        </is>
      </c>
      <c r="I38" s="5" t="inlineStr">
        <is>
          <t>MVP: ОЗУ</t>
        </is>
      </c>
      <c r="J38" s="5" t="inlineStr">
        <is>
          <t>MVP: видеопамять</t>
        </is>
      </c>
      <c r="K38" s="5" t="inlineStr">
        <is>
          <t>MVP: узлов</t>
        </is>
      </c>
      <c r="L38" s="5" t="inlineStr">
        <is>
          <t>Тираж: vCPU</t>
        </is>
      </c>
      <c r="M38" s="5" t="inlineStr">
        <is>
          <t>Тираж: ОЗУ</t>
        </is>
      </c>
      <c r="N38" s="5" t="inlineStr">
        <is>
          <t>Тираж: видеопамять</t>
        </is>
      </c>
      <c r="O38" s="5" t="inlineStr">
        <is>
          <t>Тираж: узлов</t>
        </is>
      </c>
    </row>
    <row r="39">
      <c r="B39" s="11" t="inlineStr">
        <is>
          <t>general</t>
        </is>
      </c>
      <c r="C39" s="9" t="inlineStr">
        <is>
          <t>Общий пул (платформа, приложение, наблюдаемость)</t>
        </is>
      </c>
      <c r="D39" s="10" t="n">
        <v>8</v>
      </c>
      <c r="E39" s="10" t="n">
        <v>16</v>
      </c>
      <c r="F39" s="10" t="n">
        <v>0</v>
      </c>
      <c r="G39" s="10" t="n">
        <v>1</v>
      </c>
      <c r="H39" s="55">
        <f>SUMIF($B$14:$B$35,$B39,$I$14:$I$35)</f>
        <v/>
      </c>
      <c r="I39" s="55">
        <f>SUMIF($B$14:$B$35,$B39,$J$14:$J$35)</f>
        <v/>
      </c>
      <c r="J39" s="55">
        <f>SUMIF($B$14:$B$35,$B39,$L$14:$L$35)</f>
        <v/>
      </c>
      <c r="K39" s="56">
        <f>IF(H39=0,0,ROUNDUP(MAX(H39/($Q$37*$D39),I39/($Q$37*$E39),IF($F39&gt;0,J39/($Q$37*$F39),0)),0)+$G39)</f>
        <v/>
      </c>
      <c r="L39" s="55">
        <f>SUMIF($B$14:$B$35,$B39,$R$14:$R$35)</f>
        <v/>
      </c>
      <c r="M39" s="55">
        <f>SUMIF($B$14:$B$35,$B39,$S$14:$S$35)</f>
        <v/>
      </c>
      <c r="N39" s="55">
        <f>SUMIF($B$14:$B$35,$B39,$U$14:$U$35)</f>
        <v/>
      </c>
      <c r="O39" s="56">
        <f>IF(L39=0,0,ROUNDUP(MAX(L39/($Q$37*$D39),M39/($Q$37*$E39),IF($F39&gt;0,N39/($Q$37*$F39),0)),0)+$G39)</f>
        <v/>
      </c>
    </row>
    <row r="40">
      <c r="B40" s="11" t="inlineStr">
        <is>
          <t>data</t>
        </is>
      </c>
      <c r="C40" s="9" t="inlineStr">
        <is>
          <t>Пул данных (NVMe)</t>
        </is>
      </c>
      <c r="D40" s="10" t="n">
        <v>8</v>
      </c>
      <c r="E40" s="10" t="n">
        <v>32</v>
      </c>
      <c r="F40" s="10" t="n">
        <v>0</v>
      </c>
      <c r="G40" s="10" t="n">
        <v>1</v>
      </c>
      <c r="H40" s="55">
        <f>SUMIF($B$14:$B$35,$B40,$I$14:$I$35)</f>
        <v/>
      </c>
      <c r="I40" s="55">
        <f>SUMIF($B$14:$B$35,$B40,$J$14:$J$35)</f>
        <v/>
      </c>
      <c r="J40" s="55">
        <f>SUMIF($B$14:$B$35,$B40,$L$14:$L$35)</f>
        <v/>
      </c>
      <c r="K40" s="56">
        <f>IF(H40=0,0,ROUNDUP(MAX(H40/($Q$37*$D40),I40/($Q$37*$E40),IF($F40&gt;0,J40/($Q$37*$F40),0)),0)+$G40)</f>
        <v/>
      </c>
      <c r="L40" s="55">
        <f>SUMIF($B$14:$B$35,$B40,$R$14:$R$35)</f>
        <v/>
      </c>
      <c r="M40" s="55">
        <f>SUMIF($B$14:$B$35,$B40,$S$14:$S$35)</f>
        <v/>
      </c>
      <c r="N40" s="55">
        <f>SUMIF($B$14:$B$35,$B40,$U$14:$U$35)</f>
        <v/>
      </c>
      <c r="O40" s="56">
        <f>IF(L40=0,0,ROUNDUP(MAX(L40/($Q$37*$D40),M40/($Q$37*$E40),IF($F40&gt;0,N40/($Q$37*$F40),0)),0)+$G40)</f>
        <v/>
      </c>
    </row>
    <row r="41">
      <c r="B41" s="11" t="inlineStr">
        <is>
          <t>gpu</t>
        </is>
      </c>
      <c r="C41" s="9" t="inlineStr">
        <is>
          <t>GPU-пул (эмбеддинги, реранкер)</t>
        </is>
      </c>
      <c r="D41" s="10" t="n">
        <v>8</v>
      </c>
      <c r="E41" s="10" t="n">
        <v>32</v>
      </c>
      <c r="F41" s="10" t="n">
        <v>24</v>
      </c>
      <c r="G41" s="10" t="n">
        <v>0</v>
      </c>
      <c r="H41" s="55">
        <f>SUMIF($B$14:$B$35,$B41,$I$14:$I$35)</f>
        <v/>
      </c>
      <c r="I41" s="55">
        <f>SUMIF($B$14:$B$35,$B41,$J$14:$J$35)</f>
        <v/>
      </c>
      <c r="J41" s="55">
        <f>SUMIF($B$14:$B$35,$B41,$L$14:$L$35)</f>
        <v/>
      </c>
      <c r="K41" s="56">
        <f>IF(H41=0,0,ROUNDUP(MAX(H41/($Q$37*$D41),I41/($Q$37*$E41),IF($F41&gt;0,J41/($Q$37*$F41),0)),0)+$G41)</f>
        <v/>
      </c>
      <c r="L41" s="55">
        <f>SUMIF($B$14:$B$35,$B41,$R$14:$R$35)</f>
        <v/>
      </c>
      <c r="M41" s="55">
        <f>SUMIF($B$14:$B$35,$B41,$S$14:$S$35)</f>
        <v/>
      </c>
      <c r="N41" s="55">
        <f>SUMIF($B$14:$B$35,$B41,$U$14:$U$35)</f>
        <v/>
      </c>
      <c r="O41" s="56">
        <f>IF(L41=0,0,ROUNDUP(MAX(L41/($Q$37*$D41),M41/($Q$37*$E41),IF($F41&gt;0,N41/($Q$37*$F41),0)),0)+$G41)</f>
        <v/>
      </c>
    </row>
    <row r="42">
      <c r="B42" s="11" t="inlineStr">
        <is>
          <t>gpu-llm</t>
        </is>
      </c>
      <c r="C42" s="9" t="inlineStr">
        <is>
          <t>GPU-пул генерации (тираж)</t>
        </is>
      </c>
      <c r="D42" s="10" t="n">
        <v>16</v>
      </c>
      <c r="E42" s="10" t="n">
        <v>128</v>
      </c>
      <c r="F42" s="10" t="n">
        <v>80</v>
      </c>
      <c r="G42" s="10" t="n">
        <v>0</v>
      </c>
      <c r="H42" s="55">
        <f>SUMIF($B$14:$B$35,$B42,$I$14:$I$35)</f>
        <v/>
      </c>
      <c r="I42" s="55">
        <f>SUMIF($B$14:$B$35,$B42,$J$14:$J$35)</f>
        <v/>
      </c>
      <c r="J42" s="55">
        <f>SUMIF($B$14:$B$35,$B42,$L$14:$L$35)</f>
        <v/>
      </c>
      <c r="K42" s="56">
        <f>IF(H42=0,0,ROUNDUP(MAX(H42/($Q$37*$D42),I42/($Q$37*$E42),IF($F42&gt;0,J42/($Q$37*$F42),0)),0)+$G42)</f>
        <v/>
      </c>
      <c r="L42" s="55">
        <f>SUMIF($B$14:$B$35,$B42,$R$14:$R$35)</f>
        <v/>
      </c>
      <c r="M42" s="55">
        <f>SUMIF($B$14:$B$35,$B42,$S$14:$S$35)</f>
        <v/>
      </c>
      <c r="N42" s="55">
        <f>SUMIF($B$14:$B$35,$B42,$U$14:$U$35)</f>
        <v/>
      </c>
      <c r="O42" s="56">
        <f>IF(L42=0,0,ROUNDUP(MAX(L42/($Q$37*$D42),M42/($Q$37*$E42),IF($F42&gt;0,N42/($Q$37*$F42),0)),0)+$G42)</f>
        <v/>
      </c>
    </row>
    <row r="43">
      <c r="B43" s="11" t="inlineStr">
        <is>
          <t>Итого узлов</t>
        </is>
      </c>
      <c r="K43" s="57">
        <f>SUM(K39:K42)</f>
        <v/>
      </c>
      <c r="O43" s="57">
        <f>SUM(O39:O42)</f>
        <v/>
      </c>
    </row>
    <row r="44">
      <c r="B44" s="11" t="inlineStr">
        <is>
          <t>Диск под тома, ГиБ</t>
        </is>
      </c>
      <c r="K44" s="58">
        <f>SUM($K$14:$K$35)</f>
        <v/>
      </c>
      <c r="O44" s="58">
        <f>SUM($T$14:$T$35)</f>
        <v/>
      </c>
    </row>
    <row r="46">
      <c r="B46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управляющая часть Kubernetes размещена на трёх узлах общего пула (допущение); нагрузочный тест не проводился.</t>
        </is>
      </c>
    </row>
  </sheetData>
  <mergeCells count="9">
    <mergeCell ref="C4:U4"/>
    <mergeCell ref="M12:U12"/>
    <mergeCell ref="C5:U5"/>
    <mergeCell ref="C8:U8"/>
    <mergeCell ref="C9:U9"/>
    <mergeCell ref="C3:U3"/>
    <mergeCell ref="C7:U7"/>
    <mergeCell ref="D12:L12"/>
    <mergeCell ref="C6:U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2026-09-24T18:17:54Z</dcterms:created>
  <dcterms:modified xmlns:dcterms="http://purl.org/dc/terms/" xmlns:xsi="http://www.w3.org/2001/XMLSchema-instance" xsi:type="dcterms:W3CDTF">2026-09-24T18:17:54Z</dcterms:modified>
</cp:coreProperties>
</file>