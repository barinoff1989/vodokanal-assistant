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трица" sheetId="1" state="visible" r:id="rId1"/>
    <sheet xmlns:r="http://schemas.openxmlformats.org/officeDocument/2006/relationships" name="Стоимость" sheetId="2" state="visible" r:id="rId2"/>
    <sheet xmlns:r="http://schemas.openxmlformats.org/officeDocument/2006/relationships" name="Источники и допущения" sheetId="3" state="visible" r:id="rId3"/>
    <sheet xmlns:r="http://schemas.openxmlformats.org/officeDocument/2006/relationships" name="Объём по контейнерам" sheetId="4" state="visible" r:id="rId4"/>
    <sheet xmlns:r="http://schemas.openxmlformats.org/officeDocument/2006/relationships" name="Sizing" sheetId="5" state="visible" r:id="rId5"/>
    <sheet xmlns:r="http://schemas.openxmlformats.org/officeDocument/2006/relationships" name="Прогноз стоимости" sheetId="6" state="visible" r:id="rId6"/>
  </sheets>
  <definedNames>
    <definedName name="_xlnm._FilterDatabase" localSheetId="0" hidden="1">'Матрица'!$A$2:$V$42</definedName>
    <definedName name="_xlnm.Print_Titles" localSheetId="0">'Матрица'!$1:$2</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0">
    <font>
      <name val="Calibri"/>
      <family val="2"/>
      <color theme="1"/>
      <sz val="11"/>
      <scheme val="minor"/>
    </font>
    <font>
      <name val="Calibri"/>
      <b val="1"/>
      <color rgb="00FFFFFF"/>
      <sz val="12"/>
    </font>
    <font>
      <name val="Calibri"/>
      <b val="1"/>
      <color rgb="00FFFFFF"/>
      <sz val="10"/>
    </font>
    <font>
      <name val="Calibri"/>
      <sz val="10"/>
    </font>
    <font>
      <name val="Calibri"/>
      <b val="1"/>
      <sz val="10"/>
    </font>
    <font>
      <name val="Calibri"/>
      <i val="1"/>
      <color rgb="007F7F7F"/>
      <sz val="10"/>
    </font>
    <font>
      <name val="Calibri"/>
      <b val="1"/>
      <sz val="14"/>
    </font>
    <font>
      <name val="Calibri"/>
      <i val="1"/>
      <sz val="10"/>
    </font>
    <font>
      <name val="Calibri"/>
      <b val="1"/>
      <sz val="12"/>
    </font>
    <font>
      <name val="Calibri"/>
      <b val="1"/>
      <sz val="11"/>
    </font>
  </fonts>
  <fills count="14">
    <fill>
      <patternFill/>
    </fill>
    <fill>
      <patternFill patternType="gray125"/>
    </fill>
    <fill>
      <patternFill patternType="solid">
        <fgColor rgb="00404040"/>
      </patternFill>
    </fill>
    <fill>
      <patternFill patternType="solid">
        <fgColor rgb="001F4E79"/>
      </patternFill>
    </fill>
    <fill>
      <patternFill patternType="solid">
        <fgColor rgb="002E7D5B"/>
      </patternFill>
    </fill>
    <fill>
      <patternFill patternType="solid">
        <fgColor rgb="007A5C00"/>
      </patternFill>
    </fill>
    <fill>
      <patternFill patternType="solid">
        <fgColor rgb="00FFD966"/>
      </patternFill>
    </fill>
    <fill>
      <patternFill patternType="solid">
        <fgColor rgb="00F2F2F2"/>
      </patternFill>
    </fill>
    <fill>
      <patternFill patternType="solid">
        <fgColor rgb="00DDEBF7"/>
      </patternFill>
    </fill>
    <fill>
      <patternFill patternType="solid">
        <fgColor rgb="00FFF2CC"/>
      </patternFill>
    </fill>
    <fill>
      <patternFill patternType="solid">
        <fgColor rgb="00E2EFDA"/>
      </patternFill>
    </fill>
    <fill>
      <patternFill patternType="solid">
        <fgColor rgb="00EDEDED"/>
      </patternFill>
    </fill>
    <fill>
      <patternFill patternType="solid">
        <fgColor rgb="00FCE4D6"/>
      </patternFill>
    </fill>
    <fill>
      <patternFill patternType="solid">
        <fgColor rgb="00FFFF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0"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vertical="top" wrapText="1"/>
    </xf>
    <xf numFmtId="1" fontId="3" fillId="6" borderId="1" applyAlignment="1" pivotButton="0" quotePrefix="0" xfId="0">
      <alignment horizontal="center" vertical="top"/>
    </xf>
    <xf numFmtId="0" fontId="3" fillId="6" borderId="1" applyAlignment="1" pivotButton="0" quotePrefix="0" xfId="0">
      <alignment vertical="top" wrapText="1"/>
    </xf>
    <xf numFmtId="0" fontId="5" fillId="7" borderId="1" applyAlignment="1" pivotButton="0" quotePrefix="0" xfId="0">
      <alignment vertical="top" wrapText="1"/>
    </xf>
    <xf numFmtId="0" fontId="3" fillId="7" borderId="1" applyAlignment="1" pivotButton="0" quotePrefix="0" xfId="0">
      <alignment vertical="top" wrapText="1"/>
    </xf>
    <xf numFmtId="1" fontId="3" fillId="7" borderId="1" applyAlignment="1" pivotButton="0" quotePrefix="0" xfId="0">
      <alignment horizontal="center" vertical="top"/>
    </xf>
    <xf numFmtId="1" fontId="3" fillId="9" borderId="1" applyAlignment="1" pivotButton="0" quotePrefix="0" xfId="0">
      <alignment horizontal="center" vertical="top"/>
    </xf>
    <xf numFmtId="0" fontId="3" fillId="9" borderId="1" applyAlignment="1" pivotButton="0" quotePrefix="0" xfId="0">
      <alignment vertical="top" wrapText="1"/>
    </xf>
    <xf numFmtId="1" fontId="3" fillId="0" borderId="1" applyAlignment="1" pivotButton="0" quotePrefix="0" xfId="0">
      <alignment horizontal="center" vertical="top"/>
    </xf>
    <xf numFmtId="1" fontId="3" fillId="10" borderId="1" applyAlignment="1" pivotButton="0" quotePrefix="0" xfId="0">
      <alignment horizontal="center" vertical="top"/>
    </xf>
    <xf numFmtId="0" fontId="3" fillId="10" borderId="1" applyAlignment="1" pivotButton="0" quotePrefix="0" xfId="0">
      <alignment vertical="top" wrapText="1"/>
    </xf>
    <xf numFmtId="164" fontId="3" fillId="6" borderId="1" applyAlignment="1" pivotButton="0" quotePrefix="0" xfId="0">
      <alignment horizontal="center" vertical="top"/>
    </xf>
    <xf numFmtId="0" fontId="3" fillId="11" borderId="1" applyAlignment="1" pivotButton="0" quotePrefix="0" xfId="0">
      <alignment vertical="top" wrapText="1"/>
    </xf>
    <xf numFmtId="0" fontId="3" fillId="12" borderId="1" applyAlignment="1" pivotButton="0" quotePrefix="0" xfId="0">
      <alignment vertical="top" wrapText="1"/>
    </xf>
    <xf numFmtId="164" fontId="3" fillId="9" borderId="1" applyAlignment="1" pivotButton="0" quotePrefix="0" xfId="0">
      <alignment horizontal="center" vertical="top"/>
    </xf>
    <xf numFmtId="0" fontId="4" fillId="0" borderId="0" pivotButton="0" quotePrefix="0" xfId="0"/>
    <xf numFmtId="0" fontId="0" fillId="10" borderId="1" pivotButton="0" quotePrefix="0" xfId="0"/>
    <xf numFmtId="0" fontId="3" fillId="0" borderId="0" pivotButton="0" quotePrefix="0" xfId="0"/>
    <xf numFmtId="0" fontId="0" fillId="9" borderId="1" pivotButton="0" quotePrefix="0" xfId="0"/>
    <xf numFmtId="0" fontId="0" fillId="6" borderId="1" pivotButton="0" quotePrefix="0" xfId="0"/>
    <xf numFmtId="0" fontId="0" fillId="7" borderId="1" pivotButton="0" quotePrefix="0" xfId="0"/>
    <xf numFmtId="0" fontId="6" fillId="0" borderId="0" pivotButton="0" quotePrefix="0" xfId="0"/>
    <xf numFmtId="0" fontId="7" fillId="0" borderId="0" pivotButton="0" quotePrefix="0" xfId="0"/>
    <xf numFmtId="164" fontId="3" fillId="0" borderId="1" applyAlignment="1" pivotButton="0" quotePrefix="0" xfId="0">
      <alignment vertical="top" wrapText="1"/>
    </xf>
    <xf numFmtId="164" fontId="3" fillId="10" borderId="1" applyAlignment="1" pivotButton="0" quotePrefix="0" xfId="0">
      <alignment vertical="top" wrapText="1"/>
    </xf>
    <xf numFmtId="164" fontId="3" fillId="9" borderId="1" applyAlignment="1" pivotButton="0" quotePrefix="0" xfId="0">
      <alignment vertical="top" wrapText="1"/>
    </xf>
    <xf numFmtId="164" fontId="3" fillId="6" borderId="1" applyAlignment="1" pivotButton="0" quotePrefix="0" xfId="0">
      <alignment vertical="top" wrapText="1"/>
    </xf>
    <xf numFmtId="164" fontId="4" fillId="0" borderId="1" applyAlignment="1" pivotButton="0" quotePrefix="0" xfId="0">
      <alignment vertical="top" wrapText="1"/>
    </xf>
    <xf numFmtId="0" fontId="0" fillId="0" borderId="4" pivotButton="0" quotePrefix="0" xfId="0"/>
    <xf numFmtId="0" fontId="0" fillId="0" borderId="5" pivotButton="0" quotePrefix="0" xfId="0"/>
    <xf numFmtId="3" fontId="0" fillId="13" borderId="1" pivotButton="0" quotePrefix="0" xfId="0"/>
    <xf numFmtId="3" fontId="3" fillId="0" borderId="1" applyAlignment="1" pivotButton="0" quotePrefix="0" xfId="0">
      <alignment vertical="top" wrapText="1"/>
    </xf>
    <xf numFmtId="0" fontId="8" fillId="0" borderId="0"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0" applyAlignment="1" pivotButton="0" quotePrefix="0" xfId="0">
      <alignment horizontal="center" vertical="top"/>
    </xf>
    <xf numFmtId="0" fontId="4" fillId="0" borderId="0" applyAlignment="1" pivotButton="0" quotePrefix="0" xfId="0">
      <alignment vertical="top" wrapText="1"/>
    </xf>
    <xf numFmtId="0" fontId="3" fillId="0" borderId="0" applyAlignment="1" pivotButton="0" quotePrefix="0" xfId="0">
      <alignment vertical="top" wrapText="1"/>
    </xf>
    <xf numFmtId="0" fontId="7" fillId="0" borderId="0" applyAlignment="1" pivotButton="0" quotePrefix="0" xfId="0">
      <alignment vertical="top" wrapText="1"/>
    </xf>
    <xf numFmtId="0" fontId="3" fillId="0" borderId="1" applyAlignment="1" pivotButton="0" quotePrefix="0" xfId="0">
      <alignment horizontal="center" vertical="top"/>
    </xf>
    <xf numFmtId="0" fontId="3" fillId="8" borderId="1" applyAlignment="1" pivotButton="0" quotePrefix="0" xfId="0">
      <alignment horizontal="center" vertical="top"/>
    </xf>
    <xf numFmtId="0" fontId="9" fillId="0" borderId="0" applyAlignment="1" pivotButton="0" quotePrefix="0" xfId="0">
      <alignment horizontal="center" vertical="center" wrapText="1"/>
    </xf>
    <xf numFmtId="165" fontId="3" fillId="0" borderId="1" applyAlignment="1" pivotButton="0" quotePrefix="0" xfId="0">
      <alignment horizontal="center" vertical="top"/>
    </xf>
    <xf numFmtId="9" fontId="3" fillId="8" borderId="1" applyAlignment="1" pivotButton="0" quotePrefix="0" xfId="0">
      <alignment vertical="top" wrapText="1"/>
    </xf>
    <xf numFmtId="165" fontId="3" fillId="0" borderId="1" applyAlignment="1" pivotButton="0" quotePrefix="0" xfId="0">
      <alignment vertical="top" wrapText="1"/>
    </xf>
    <xf numFmtId="0" fontId="4" fillId="0" borderId="1" applyAlignment="1" pivotButton="0" quotePrefix="0" xfId="0">
      <alignment horizontal="center" vertical="top"/>
    </xf>
    <xf numFmtId="0" fontId="4" fillId="0" borderId="1" applyAlignment="1" pivotButton="0" quotePrefix="0" xfId="0">
      <alignment horizontal="center"/>
    </xf>
    <xf numFmtId="1" fontId="3" fillId="0" borderId="1" applyAlignment="1" pivotButton="0" quotePrefix="0" xfId="0">
      <alignment horizontal="center"/>
    </xf>
    <xf numFmtId="166" fontId="3" fillId="8" borderId="1" applyAlignment="1" pivotButton="0" quotePrefix="0" xfId="0">
      <alignment vertical="top" wrapText="1"/>
    </xf>
    <xf numFmtId="2" fontId="3" fillId="8" borderId="1" applyAlignment="1" pivotButton="0" quotePrefix="0" xfId="0">
      <alignment vertical="top" wrapText="1"/>
    </xf>
    <xf numFmtId="3" fontId="3" fillId="8" borderId="1" applyAlignment="1" pivotButton="0" quotePrefix="0" xfId="0">
      <alignment vertical="top" wrapText="1"/>
    </xf>
    <xf numFmtId="3" fontId="4" fillId="0" borderId="1" applyAlignment="1" pivotButton="0" quotePrefix="0" xfId="0">
      <alignment vertical="top" wrapText="1"/>
    </xf>
    <xf numFmtId="167"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48"/>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30" customWidth="1" min="3" max="3"/>
    <col width="34" customWidth="1" min="4" max="4"/>
    <col width="40" customWidth="1" min="5" max="5"/>
    <col width="46" customWidth="1" min="6" max="6"/>
    <col width="50" customWidth="1" min="7" max="7"/>
    <col width="38" customWidth="1" min="8" max="8"/>
    <col width="46" customWidth="1" min="9" max="9"/>
    <col width="34" customWidth="1" min="10" max="10"/>
    <col width="28" customWidth="1" min="11" max="11"/>
    <col width="36" customWidth="1" min="12" max="12"/>
    <col width="11" customWidth="1" min="13" max="13"/>
    <col width="11" customWidth="1" min="14" max="14"/>
    <col width="24" customWidth="1" min="15" max="15"/>
    <col width="34" customWidth="1" min="16" max="16"/>
    <col width="28" customWidth="1" min="17" max="17"/>
    <col width="36" customWidth="1" min="18" max="18"/>
    <col width="11" customWidth="1" min="19" max="19"/>
    <col width="11" customWidth="1" min="20" max="20"/>
    <col width="24" customWidth="1" min="21" max="21"/>
    <col width="26" customWidth="1" min="22" max="22"/>
  </cols>
  <sheetData>
    <row r="1" ht="22" customHeight="1">
      <c r="A1" s="1" t="inlineStr">
        <is>
          <t>Что это</t>
        </is>
      </c>
      <c r="B1" s="1" t="n"/>
      <c r="C1" s="1" t="n"/>
      <c r="D1" s="1" t="n"/>
      <c r="E1" s="2" t="inlineStr">
        <is>
          <t>Сейчас (прототип)</t>
        </is>
      </c>
      <c r="F1" s="2" t="n"/>
      <c r="G1" s="2" t="n"/>
      <c r="H1" s="2" t="n"/>
      <c r="I1" s="2" t="n"/>
      <c r="J1" s="3" t="inlineStr">
        <is>
          <t>MVP — 8 000 абонентов</t>
        </is>
      </c>
      <c r="K1" s="3" t="n"/>
      <c r="L1" s="3" t="n"/>
      <c r="M1" s="3" t="n"/>
      <c r="N1" s="3" t="n"/>
      <c r="O1" s="3" t="n"/>
      <c r="P1" s="4" t="inlineStr">
        <is>
          <t>Тираж — 90 000 абонентов</t>
        </is>
      </c>
      <c r="Q1" s="4" t="n"/>
      <c r="R1" s="4" t="n"/>
      <c r="S1" s="4" t="n"/>
      <c r="T1" s="4" t="n"/>
      <c r="U1" s="4" t="n"/>
      <c r="V1" s="1" t="inlineStr"/>
    </row>
    <row r="2" ht="44" customHeight="1">
      <c r="A2" s="5" t="inlineStr">
        <is>
          <t>№</t>
        </is>
      </c>
      <c r="B2" s="5" t="inlineStr">
        <is>
          <t>Тип</t>
        </is>
      </c>
      <c r="C2" s="5" t="inlineStr">
        <is>
          <t>Контейнер / связь</t>
        </is>
      </c>
      <c r="D2" s="5" t="inlineStr">
        <is>
          <t>Какие контейнеры затрагивает</t>
        </is>
      </c>
      <c r="E2" s="6" t="inlineStr">
        <is>
          <t>Технология и стек (что именно используется)</t>
        </is>
      </c>
      <c r="F2" s="6" t="inlineStr">
        <is>
          <t>Как реализовано сейчас</t>
        </is>
      </c>
      <c r="G2" s="6" t="inlineStr">
        <is>
          <t>С чем сравнивали и почему выбрано</t>
        </is>
      </c>
      <c r="H2" s="6" t="inlineStr">
        <is>
          <t>Где сравнение (документ, раздел)</t>
        </is>
      </c>
      <c r="I2" s="6" t="inlineStr">
        <is>
          <t>Проблемы</t>
        </is>
      </c>
      <c r="J2" s="7" t="inlineStr">
        <is>
          <t>Что будет</t>
        </is>
      </c>
      <c r="K2" s="7" t="inlineStr">
        <is>
          <t>Стек</t>
        </is>
      </c>
      <c r="L2" s="7" t="inlineStr">
        <is>
          <t>Почему</t>
        </is>
      </c>
      <c r="M2" s="7" t="inlineStr">
        <is>
          <t>Доработки, чел-дн (мин)</t>
        </is>
      </c>
      <c r="N2" s="7" t="inlineStr">
        <is>
          <t>Доработки, чел-дн (макс)</t>
        </is>
      </c>
      <c r="O2" s="7" t="inlineStr">
        <is>
          <t>Основа оценки</t>
        </is>
      </c>
      <c r="P2" s="8" t="inlineStr">
        <is>
          <t>Что будет</t>
        </is>
      </c>
      <c r="Q2" s="8" t="inlineStr">
        <is>
          <t>Стек</t>
        </is>
      </c>
      <c r="R2" s="8" t="inlineStr">
        <is>
          <t>Почему</t>
        </is>
      </c>
      <c r="S2" s="8" t="inlineStr">
        <is>
          <t>Доработки, чел-дн (мин)</t>
        </is>
      </c>
      <c r="T2" s="8" t="inlineStr">
        <is>
          <t>Доработки, чел-дн (макс)</t>
        </is>
      </c>
      <c r="U2" s="8" t="inlineStr">
        <is>
          <t>Основа оценки</t>
        </is>
      </c>
      <c r="V2" s="5" t="inlineStr">
        <is>
          <t>Источники</t>
        </is>
      </c>
    </row>
    <row r="3">
      <c r="A3" s="9" t="n">
        <v>1</v>
      </c>
      <c r="B3" s="10" t="inlineStr">
        <is>
          <t>Контейнер</t>
        </is>
      </c>
      <c r="C3" s="11" t="inlineStr">
        <is>
          <t>AI-виджет (интерфейс абонента)</t>
        </is>
      </c>
      <c r="D3" s="9" t="inlineStr">
        <is>
          <t>AI-виджет; Backend (на прототипе отдаёт статику виджета)</t>
        </is>
      </c>
      <c r="E3" s="9" t="inlineStr">
        <is>
          <t>HTML + JavaScript без фреймворка и сборки + CSS (каталог `web/`); поток ответа — fetch и чтение SSE</t>
        </is>
      </c>
      <c r="F3" s="9" t="inlineStr">
        <is>
          <t>Три статических файла: HTML / JS / CSS (`web/`), отдаются самим Backend; ответ приходит потоком (SSE). Оформлен как личный кабинет.</t>
        </is>
      </c>
      <c r="G3" s="9" t="inlineStr">
        <is>
          <t>React/TS (целевой) на прототипе отклонён: ничего архитектурного не проверил бы, но потребовал бы второго процесса на демонстрации.</t>
        </is>
      </c>
      <c r="H3" s="9" t="inlineStr">
        <is>
          <t>ADR-200, раздел «Сравнение вариантов по слоям», подраздел «Интерфейс абонента: виджет»</t>
        </is>
      </c>
      <c r="I3" s="9" t="inlineStr">
        <is>
          <t>Это демо-стенд, а не продукт. Нет настоящей SSO: абонент выбирается из справочника, идентификатор берётся из метаданных запроса.</t>
        </is>
      </c>
      <c r="J3" s="9" t="inlineStr">
        <is>
          <t>Виджет, встроенный в личный кабинет, с SSO-сессией.</t>
        </is>
      </c>
      <c r="K3" s="9" t="inlineStr">
        <is>
          <t>React / TypeScript, сборка в образ `ai-widget`, за Ingress (nginx).</t>
        </is>
      </c>
      <c r="L3" s="9" t="inlineStr">
        <is>
          <t>Встраивание в существующий ЛК; целевая схема развёртывания (`C4_Deployment`).</t>
        </is>
      </c>
      <c r="M3" s="12" t="n">
        <v>10</v>
      </c>
      <c r="N3" s="12" t="n">
        <v>15</v>
      </c>
      <c r="O3" s="13" t="inlineStr">
        <is>
          <t>Оценка автора</t>
        </is>
      </c>
      <c r="P3" s="14" t="inlineStr">
        <is>
          <t>Без изменений</t>
        </is>
      </c>
      <c r="Q3" s="15" t="n"/>
      <c r="R3" s="15" t="n"/>
      <c r="S3" s="16" t="n"/>
      <c r="T3" s="16" t="n"/>
      <c r="U3" s="15" t="n"/>
      <c r="V3" s="9" t="inlineStr">
        <is>
          <t>ADR-100; C4_L3_Widget; C4_Deployment</t>
        </is>
      </c>
    </row>
    <row r="4">
      <c r="A4" s="9" t="n">
        <v>2</v>
      </c>
      <c r="B4" s="10" t="inlineStr">
        <is>
          <t>Контейнер</t>
        </is>
      </c>
      <c r="C4" s="11" t="inlineStr">
        <is>
          <t>Backend (API, классификация, поиск, сборка ответа)</t>
        </is>
      </c>
      <c r="D4" s="9" t="inlineStr">
        <is>
          <t>Backend</t>
        </is>
      </c>
      <c r="E4" s="9" t="inlineStr">
        <is>
          <t>Python 3.12; FastAPI; uvicorn; pydantic v2; httpx; контейнер docker (multi-stage)</t>
        </is>
      </c>
      <c r="F4" s="9" t="inlineStr">
        <is>
          <t>Python 3.12 + веб-фреймворк FastAPI + сервер запуска uvicorn (ASGI: принимает HTTP-запросы и вызывает код FastAPI). В контейнере (multi-stage `Dockerfile`), поднимается `docker compose up`. Внутри: Triage, поиск по базе знаний, шесть путей ответа, FSM.</t>
        </is>
      </c>
      <c r="G4" s="9" t="inlineStr">
        <is>
          <t>Язык: Go и Node.js — отклонены: нет зрелого RAG/PII-инструментария (LiteLLM, sentence-transformers, Presidio живут в Python), а RAG-логика обязана быть внутри одного контейнера; выигрыш Go в конкурентности не нужен, узкое место — задержка внешней модели. Фреймворк: FastAPI выбран против Flask, Django REST Framework и Litestar — родные async и потоковый ответ, pydantic-схемы и OpenAPI из тех же моделей, лёгкий вес; Flask и DRF дублируют описание моделей и требуют расширений, Litestar не даёт выигрыша при меньшем сообществе. Сервер: uvicorn выбран против Hypercorn, Daphne, Granian и gunicorn — стандартный сервер FastAPI, минимум настроек; остальным нечего добавить проекту (внешний трафик и TLS закрывает Ingress, скорость Rust-ядра не нужна, менеджер процессов заменяет Kubernetes). Подробно — ADR-200.</t>
        </is>
      </c>
      <c r="H4" s="9" t="inlineStr">
        <is>
          <t>ADR-200: «Почему Python, а не Go или Node.js», «Почему FastAPI, а не другой Python-фреймворк», «Почему uvicorn»</t>
        </is>
      </c>
      <c r="I4" s="9" t="inlineStr">
        <is>
          <t>Проверка «идентификатор абонента принадлежит сессии» на шагах записи спроектирована, но не реализована (открытый P1). В compose включён режим разработки (`--reload`, подключённые каталоги).</t>
        </is>
      </c>
      <c r="J4" s="9" t="inlineStr">
        <is>
          <t>Те же контейнеры в Kubernetes, несколько реплик; проверка привязки абонента к сессии на каждом шаге записи; продовый режим запуска.</t>
        </is>
      </c>
      <c r="K4" s="9" t="inlineStr">
        <is>
          <t>Python / FastAPI, uvicorn без режима перезагрузки и без подключённых каталогов; Deployment в Kubernetes, секреты из Kubernetes Secret (GitLab CI variables).</t>
        </is>
      </c>
      <c r="L4" s="9" t="inlineStr">
        <is>
          <t>Без привязки сессии запись от имени абонента включать нельзя (риск подмены, ADR-400).</t>
        </is>
      </c>
      <c r="M4" s="17" t="n">
        <v>3</v>
      </c>
      <c r="N4" s="17" t="n">
        <v>4</v>
      </c>
      <c r="O4" s="18" t="inlineStr">
        <is>
          <t>Из блока ADR-600: Основная разработка Этапа 2</t>
        </is>
      </c>
      <c r="P4" s="14" t="inlineStr">
        <is>
          <t>Без изменений</t>
        </is>
      </c>
      <c r="Q4" s="15" t="n"/>
      <c r="R4" s="15" t="n"/>
      <c r="S4" s="16" t="n"/>
      <c r="T4" s="16" t="n"/>
      <c r="U4" s="15" t="n"/>
      <c r="V4" s="9" t="inlineStr">
        <is>
          <t>ADR-200; ADR-400; ADR-600</t>
        </is>
      </c>
    </row>
    <row r="5">
      <c r="A5" s="9" t="n">
        <v>3</v>
      </c>
      <c r="B5" s="10" t="inlineStr">
        <is>
          <t>Контейнер</t>
        </is>
      </c>
      <c r="C5" s="11" t="inlineStr">
        <is>
          <t>Классификатор обращений (Triage)</t>
        </is>
      </c>
      <c r="D5" s="9" t="inlineStr">
        <is>
          <t>Backend (модуль Triage); embedding-inference (эмбеддер для запасного k-NN)</t>
        </is>
      </c>
      <c r="E5" s="9" t="inlineStr">
        <is>
          <t>Python: регулярные выражения `re` и словарь ключевых слов; запасной k-NN — sentence-transformers, multilingual-e5-small (CPU), косинусная близость</t>
        </is>
      </c>
      <c r="F5" s="9" t="inlineStr">
        <is>
          <t>Python, без модели на основном пути. Тема (путь ответа): подстроки и регулярные выражения — `TOPIC_MARKERS`, `TARIFF_PATTERNS`, `WATER_QUALITY_PATTERNS`, `TEMPLATE_PATTERNS`, `ACCOUNT_PATTERNS` в `app/agents/triage.py`. Тип обращения (регистрация): словарь ключевых слов `KEYWORDS` в `app/taxonomy.py`, слова взяты из 136 настоящих обращений (на отложенной трети выборки охват 75%, точность 65%; выборка мала). Когда правила молчат — запасной k-NN по эмбеддингам (косинусная близость к размеченным примерам `EXAMPLES` в `app/agents/topic_fallback.py` и `app/agents/inquiry_type_fallback.py`); эмбеддер — `multilingual-e5-small` на CPU, тот же, что у поиска (вторая модель не грузится). Запасной классификатор типа знает 7 из 16 типов. Все правила и слова по каждому типу и теме, их проработка и этап сведены в таблице `Inquiry_Types.xlsx`.</t>
        </is>
      </c>
      <c r="G5" s="9" t="inlineStr">
        <is>
          <t>Отдельный вызов LLM на каждый запрос отклонён: стоимость и задержка ради задачи, которую решают правила. k-NN переиспользует уже загруженный эмбеддер, вторая модель не нужна.</t>
        </is>
      </c>
      <c r="H5" s="9" t="inlineStr">
        <is>
          <t>ADR-300, раздел 1 «Классификация» (правила / LLM-классификатор / k-NN); слова и статистика — Inquiry_Types.xlsx</t>
        </is>
      </c>
      <c r="I5" s="9" t="inlineStr">
        <is>
          <t>9 типов из 16 запасной классификатор не знает: refund, debt, payment, penalty, accrual_recalculation, inquiry_cancellation, meter_reacceptance, meter_reacceptance_auto, other. По ним работают только ключевые слова. Реальные тексты по этим типам — споры, а не заявки, нужен размеченный корпус вопросов-заявок (его пока нет). Пороги k-NN подобраны замером на e5-small и не переносятся на другую модель. Классификация даёт одну тему и один тип на реплику; несколько задач в реплике разбирает детектор намерений (`app/agents/intents.py`, реализован на прототипе). Замер: 31 из 136 настоящих обращений (23%) подходят под несколько типов по ключевым словам — это пересечение слов; детектор на тех же текстах находит несколько задач в 1 из 136 (0,7%). Доля по разметке людьми не измерена — при доле выше 5% агент переводится на LangGraph (триггер 4, ADR-200).</t>
        </is>
      </c>
      <c r="J5" s="9" t="inlineStr">
        <is>
          <t>Сначала анализ всех типов на живых обращениях (строка «Анализ всех типов…» ниже), затем заново собранная таблица типов; расширение запасного классификатора на оставшиеся девять типов; устранение найденных ложных срабатываний; пересчёт порогов k-NN под новую модель эмбеддингов.</t>
        </is>
      </c>
      <c r="K5" s="9" t="inlineStr">
        <is>
          <t>Правила и словарь — как сейчас; k-NN на эмбеддере поиска (предварительно BGE-M3, GPU); пороги подбираются заново, окончательная модель — по итогам анализа на живых обращениях.</t>
        </is>
      </c>
      <c r="L5" s="9" t="inlineStr">
        <is>
          <t>Чтобы обращения по всем типам справочника регистрировались автоматически. Пороги надо подбирать заново: их величина — свойство пары «модель + примеры». Оценка в этой строке — только расширение классификатора и подбор порогов: 1,5–2,5 недели после появления размеченного корпуса (ADR-600). Анализ на живых данных и пересборка таблицы — 13–19 чел-дн в строке «Анализ всех типов…»; вместе с ним работа над классификатором — 23–34 чел-дн.</t>
        </is>
      </c>
      <c r="M5" s="17" t="n">
        <v>8</v>
      </c>
      <c r="N5" s="17" t="n">
        <v>12</v>
      </c>
      <c r="O5" s="18" t="inlineStr">
        <is>
          <t>Из блока ADR-600: Качество поиска и классификации</t>
        </is>
      </c>
      <c r="P5" s="9" t="inlineStr">
        <is>
          <t>Как на MVP (изменений нет).</t>
        </is>
      </c>
      <c r="Q5" s="9" t="inlineStr">
        <is>
          <t>Те же правила; k-NN на эмбеддере поиска (модель — по решению для MVP и тиража).</t>
        </is>
      </c>
      <c r="R5" s="9" t="inlineStr">
        <is>
          <t>Собственная модель генерации на тираже классификацию не затрагивает: k-NN использует эмбеддер поиска.</t>
        </is>
      </c>
      <c r="S5" s="19" t="n"/>
      <c r="T5" s="19" t="n"/>
      <c r="U5" s="9" t="n"/>
      <c r="V5" s="9" t="inlineStr">
        <is>
          <t>ADR-300; ADR-600; Inquiry_Types.xlsx</t>
        </is>
      </c>
    </row>
    <row r="6">
      <c r="A6" s="9" t="n">
        <v>4</v>
      </c>
      <c r="B6" s="10" t="inlineStr">
        <is>
          <t>Контейнер</t>
        </is>
      </c>
      <c r="C6" s="11" t="inlineStr">
        <is>
          <t>LLM Gateway (лимиты → PII → модель → проверка)</t>
        </is>
      </c>
      <c r="D6" s="9" t="inlineStr">
        <is>
          <t>LLM Gateway (сейчас внутри Backend); Redis (лимиты); LLM Provider; Postgres (события использования)</t>
        </is>
      </c>
      <c r="E6" s="9" t="inlineStr">
        <is>
          <t>Python; LiteLLM (Router); Redis; Presidio + spaCy (обезличивание); prometheus-client; PostgreSQL</t>
        </is>
      </c>
      <c r="F6" s="9" t="inlineStr">
        <is>
          <t>Python-модуль внутри контейнера Backend (`app/gateway/`), работает по цепочке: лимиты запросов (Redis) → обезличивание (Presidio + русская модель spaCy + собственные распознаватели) → вызов модели через LiteLLM → проверка ответа на потоке (регулярные выражения) → запись события использования (Postgres) и метрики (prometheus-client). LiteLLM подключён библиотекой (`Router`) внутри процесса по конфигурации `litellm_config.yaml`: единый OpenAI-совместимый интерфейс, повторы и переключение на запасного провайдера при сбое; YandexGPT вызывается через OpenAI-совместимый адрес. К шлюзу ходит только Backend.</t>
        </is>
      </c>
      <c r="G6" s="9" t="inlineStr">
        <is>
          <t>Свой клиент на каждого провайдера отклонён: дублирование ради контроля, который LiteLLM уже даёт (по документации библиотеки: 100+ адаптеров, единый интерфейс; в проекте настроены повторы и цепочки запасных, circuit breaker не настроен; переключение на запасного сработало на живом трафике — шесть вызовов ушли на локальную модель при пустом ключе). Отдельный прокси-сервер LiteLLM на прототипе не взят: это второй процесс со своим портом и конфигурацией, память отдельного процесса LiteLLM не измерялась (на машине 15 ГБ, контейнер Backend занимает 1,32 ГиБ); библиотека принимает тот же список моделей и цепочки запасных провайдеров, формат файла совместим с прокси. Смена провайдера — правка переменной `LLM_PROVIDER`, код не меняется: это условие ADR-200 (минимум два провайдера с автопереключением). Весь нужный инструментарий (LiteLLM, Presidio, sentence-transformers) существует в Python — тот же язык, что у Backend. Зарубежные провайдеры исключены: 152-ФЗ.</t>
        </is>
      </c>
      <c r="H6" s="9" t="inlineStr">
        <is>
          <t>ADR-200, раздел «LLM-хостинг»: таблица стратегии и шлюза, подраздел «Как устроен шлюз к модели»</t>
        </is>
      </c>
      <c r="I6" s="9" t="inlineStr">
        <is>
          <t>Отдельного контейнера нет — шлюз пока внутри Backend. GigaChat на прототипе недоступен (нужны сертификаты НУЦ), поэтому целевой основной провайдер MVP на машине прототипа не проверен. Проверки ответа — регулярные выражения; тонкие случаи (тон, обоснованность) ловятся слабо, обоснованность оценивает отдельный судья.</t>
        </is>
      </c>
      <c r="J6" s="9" t="inlineStr">
        <is>
          <t>Отдельный контейнер `llm-gateway`; через него ходят и Backend, и агент записи.</t>
        </is>
      </c>
      <c r="K6" s="9" t="inlineStr">
        <is>
          <t>Python / LiteLLM (Router или прокси — решается при выносе; формат конфигурации совместим), отдельный Deployment; Redis для лимитов; Presidio; события использования — в Postgres; GigaChat Pro основной, YandexGPT резерв.</t>
        </is>
      </c>
      <c r="L6" s="9" t="inlineStr">
        <is>
          <t>Единый обязательный путь для всех потребителей: обхода обезличивания на Этапе 2 быть не должно.</t>
        </is>
      </c>
      <c r="M6" s="12" t="n">
        <v>3</v>
      </c>
      <c r="N6" s="12" t="n">
        <v>5</v>
      </c>
      <c r="O6" s="13" t="inlineStr">
        <is>
          <t>Оценка автора</t>
        </is>
      </c>
      <c r="P6" s="14" t="inlineStr">
        <is>
          <t>Без изменений</t>
        </is>
      </c>
      <c r="Q6" s="15" t="n"/>
      <c r="R6" s="15" t="n"/>
      <c r="S6" s="16" t="n"/>
      <c r="T6" s="16" t="n"/>
      <c r="U6" s="15" t="n"/>
      <c r="V6" s="9" t="inlineStr">
        <is>
          <t>ADR-200; C4_L3_LLM</t>
        </is>
      </c>
    </row>
    <row r="7">
      <c r="A7" s="9" t="n">
        <v>5</v>
      </c>
      <c r="B7" s="10" t="inlineStr">
        <is>
          <t>Контейнер</t>
        </is>
      </c>
      <c r="C7" s="11" t="inlineStr">
        <is>
          <t>PII Filter (обезличивание)</t>
        </is>
      </c>
      <c r="D7" s="9" t="inlineStr">
        <is>
          <t>LLM Gateway (Backend)</t>
        </is>
      </c>
      <c r="E7" s="9" t="inlineStr">
        <is>
          <t>Python; Presidio (analyzer, anonymizer); spaCy ru_core_news_md; собственные распознаватели СНИЛС, ИНН, лицевого счёта, телефона, email</t>
        </is>
      </c>
      <c r="F7" s="9" t="inlineStr">
        <is>
          <t>Presidio + собственные распознаватели (СНИЛС и ИНН с контрольными суммами, лицевой счёт, телефон, email), русская модель spaCy. Стоит в шлюзе до обращения к провайдеру.</t>
        </is>
      </c>
      <c r="G7" s="9" t="inlineStr">
        <is>
          <t>Presidio + собственные распознаватели выбраны против «только регулярных выражений» (не находят ФИО), русского NER вроде Natasha (по документации — имена и адреса, но не СНИЛС, ИНН, лицевой счёт, телефон, почту; не проверялась) и внешнего сервиса (данные уходят за периметр, запрещено). Базовый набор Presidio один не годился: лицевой счёт определялся как телефон, одна почта получала три метки.</t>
        </is>
      </c>
      <c r="H7" s="9" t="inlineStr">
        <is>
          <t>ADR-400, раздел «Сравнение вариантов по слоям безопасности», подраздел «Почему Presidio и собственные распознаватели»; подраздел «Модель разбора языка для обезличивания: что будет сравниваться»</t>
        </is>
      </c>
      <c r="I7" s="9" t="inlineStr">
        <is>
          <t>Эмбеддинг запроса минует фильтр, поэтому онлайн-эмбеддинги допустимы только локальные (внешний API для запроса запрещён).</t>
        </is>
      </c>
      <c r="J7" s="9" t="inlineStr">
        <is>
          <t>Проверка полноты обезличивания на размеченных живых обращениях (ФИО, адрес, телефон, лицевой счёт, почта): сколько ПДн пропущено; сравнение моделей разбора языка (spaCy md / sm / lg, Natasha); правка распознавателей.</t>
        </is>
      </c>
      <c r="K7" s="9" t="inlineStr">
        <is>
          <t>Presidio + spaCy (модель выбирается по замеру) + собственные распознаватели; скрипты замера полноты и точности.</t>
        </is>
      </c>
      <c r="L7" s="9" t="inlineStr">
        <is>
          <t>Для 152-ФЗ пропуск ПДн опаснее ложной находки, а полнота на живых данных не измерялась: измерены только ложные находки на 136 обращениях.</t>
        </is>
      </c>
      <c r="M7" s="17" t="n">
        <v>4</v>
      </c>
      <c r="N7" s="17" t="n">
        <v>6</v>
      </c>
      <c r="O7" s="18" t="inlineStr">
        <is>
          <t>Из блока ADR-600: Качество поиска и классификации</t>
        </is>
      </c>
      <c r="P7" s="14" t="inlineStr">
        <is>
          <t>Без изменений</t>
        </is>
      </c>
      <c r="Q7" s="15" t="n"/>
      <c r="R7" s="15" t="n"/>
      <c r="S7" s="16" t="n"/>
      <c r="T7" s="16" t="n"/>
      <c r="U7" s="15" t="n"/>
      <c r="V7" s="9" t="inlineStr">
        <is>
          <t>ADR-400; ADR-600</t>
        </is>
      </c>
    </row>
    <row r="8">
      <c r="A8" s="9" t="n">
        <v>6</v>
      </c>
      <c r="B8" s="10" t="inlineStr">
        <is>
          <t>Контейнер</t>
        </is>
      </c>
      <c r="C8" s="11" t="inlineStr">
        <is>
          <t>Guardrails и судья качества</t>
        </is>
      </c>
      <c r="D8" s="9" t="inlineStr">
        <is>
          <t>LLM Gateway (проверки на потоке); Backend (фоновая оценка); Ollama (локальная модель судьи на прототипе)</t>
        </is>
      </c>
      <c r="E8" s="9" t="inlineStr">
        <is>
          <t>Python: регулярные выражения для проверок на потоке; судья — LiteLLM → Qwen2.5-7B через Ollama (прототип), YandexGPT (MVP)</t>
        </is>
      </c>
      <c r="F8" s="9" t="inlineStr">
        <is>
          <t>Назначение: проверить ответ модели до показа абоненту — персональные данные, недопустимый тон, разглашение внутренних инструкций. Синхронно (бюджет 50 мс; замер 24.09.2026: на ответе ≈800 знаков P95 ≈49 мс, на ≈2 000 знаков P95 ≈120 мс — на длинных ответах бюджет не держится, проверяется весь накопленный текст): ПДн в ответе, тон, разглашение промпта, ложное «сделал» (модель пишет, что выполнила операцию) — при нарушении поток обрывается. Асинхронно: судья обоснованности (локальная Qwen2.5-7B через Ollama), не блокирует выдачу.</t>
        </is>
      </c>
      <c r="G8" s="9" t="inlineStr">
        <is>
          <t>Проверки на потоке — регулярные выражения (бюджет менее 50 мс на кусок; ML-модель токсичности не измерялась (на CPU есть риск), LLM-судья работает секундами — у YandexGPT первый кусок приходит за 0,3–21 с (19 вызовов), внешний сервис уносит данные за периметр). Судья не может совпадать с отвечающей моделью: при совпадении оценка пропускается и это фиксируется.</t>
        </is>
      </c>
      <c r="H8" s="9" t="inlineStr">
        <is>
          <t>ADR-300, раздел 5 «Судья качества ответа» и подраздел «Судья качества: какие модели и что будет сравниваться»; ADR-400, раздел «Сравнение вариантов по слоям безопасности», подраздел «Почему проверки ответа — регулярные выражения на потоке» (проверки на потоке)</t>
        </is>
      </c>
      <c r="I8" s="9" t="inlineStr">
        <is>
          <t>Проверки на потоке подобраны без живых ответов модели: частота ложных блокировок и пропусков неизвестна. Судья слабый, оценка предварительная (provisional): пороги качества не откалиброваны на размеченном наборе. Ложное «сделал» ловится правилом `unperformed_action` (начало предложения с глаголом первого лица) и правилом в промпте; до них модель отвечала «Передал показания 1234. Проверил наличие долга — его нет». Перечень глаголов собран вручную, частота ложных блокировок и пропусков на живых ответах неизвестна.</t>
        </is>
      </c>
      <c r="J8" s="9" t="inlineStr">
        <is>
          <t>Судья на другом провайдере, чем отвечающая модель; тест нескольких моделей судьи (Qwen2.5-7B, Qwen2.5-14B/32B, YandexGPT, GigaChat Pro) против ручной разметки 100–200 живых ответов; калибровка порогов (6–9 чел-дн). Проверка работоспособности проверок на живых данных (ложные блокировки, пропуски ПДн, тона и разглашения промпта) — в строке «Проверка на живых данных: Guardrails и выбор провайдера» ниже.</t>
        </is>
      </c>
      <c r="K8" s="9" t="inlineStr">
        <is>
          <t>Судья — YandexGPT при отвечающем GigaChat Pro или наоборот (по решению об основном провайдере); выбор модели судьи — по замеру согласия с человеком.</t>
        </is>
      </c>
      <c r="L8" s="9" t="inlineStr">
        <is>
          <t>Независимость оценки обеспечена конструктивно, а не договорённостью.</t>
        </is>
      </c>
      <c r="M8" s="17" t="n">
        <v>6</v>
      </c>
      <c r="N8" s="17" t="n">
        <v>9</v>
      </c>
      <c r="O8" s="18" t="inlineStr">
        <is>
          <t>Из блока ADR-600: Качество поиска и классификации</t>
        </is>
      </c>
      <c r="P8" s="14" t="inlineStr">
        <is>
          <t>Без изменений</t>
        </is>
      </c>
      <c r="Q8" s="15" t="n"/>
      <c r="R8" s="15" t="n"/>
      <c r="S8" s="16" t="n"/>
      <c r="T8" s="16" t="n"/>
      <c r="U8" s="15" t="n"/>
      <c r="V8" s="9" t="inlineStr">
        <is>
          <t>ADR-300; C4_L3_LLM</t>
        </is>
      </c>
    </row>
    <row r="9">
      <c r="A9" s="9" t="n">
        <v>7</v>
      </c>
      <c r="B9" s="10" t="inlineStr">
        <is>
          <t>Контейнер</t>
        </is>
      </c>
      <c r="C9" s="11" t="inlineStr">
        <is>
          <t>LLM Provider (генерация ответа)</t>
        </is>
      </c>
      <c r="D9" s="9" t="inlineStr">
        <is>
          <t>LLM Gateway; внешний LLM Provider (YandexGPT / GigaChat); Ollama (тесты)</t>
        </is>
      </c>
      <c r="E9" s="9" t="inlineStr">
        <is>
          <t>YandexGPT Pro (управляемый API, РФ); LiteLLM; Qwen2.5-7B через Ollama для тестов</t>
        </is>
      </c>
      <c r="F9" s="9" t="inlineStr">
        <is>
          <t>YandexGPT Pro — управляемый API в РФ. Для тестов локально Qwen2.5-7B (Ollama). Время до первого куска по 19 вызовам: медиана 0,78 с, P90 5,6 с, максимум 21,7 с (ориентир 0,5 с не достигнут); до конца ответа — медиана 2,6 с.</t>
        </is>
      </c>
      <c r="G9" s="9" t="inlineStr">
        <is>
          <t>GigaChat технически недоступен на машине прототипа (нужны корневые сертификаты НУЦ; отключать проверку TLS недопустимо). Зарубежные провайдеры отклонены на всех этапах: 152-ФЗ. Собственная модель тиража: Qwen2.5-32B выбран против Llama 3.x и открытых весов GigaChat — лицензия Apache 2.0, сильный русский среди открытых моделей, одно семейство 7B (уже используется для тестов) → 32B без переделки, 32B в INT4 помещается на одну карту A100 (в проекте заложено 34 ГБ весов плюс запас под кэш; на GPU не проверялось, а для INT4 по общим сведениям ожидается около 17–20 ГБ — 34 ГБ скорее соответствуют 8-битному представлению). Выбор сделан по репутации модели, на своём эталонном наборе не проверен; прогон запланирован при переходе к тиражу (3–5 чел-дн, ADR-600).</t>
        </is>
      </c>
      <c r="H9" s="9" t="inlineStr">
        <is>
          <t>ADR-300, раздел 4 «Генерация ответа абоненту» и подраздел «Сравнение семейства self-hosted-модели»; стоимость — ADR-500</t>
        </is>
      </c>
      <c r="I9" s="9" t="inlineStr">
        <is>
          <t>Ни YandexGPT, ни GigaChat не проверены на живых вопросах абонентов; GigaChat на прототипе недоступен. Качество ответов не измерено на собственном эталонном наборе; выбор модели по репутации.</t>
        </is>
      </c>
      <c r="J9" s="9" t="inlineStr">
        <is>
          <t>GigaChat Pro как основная, YandexGPT как резерв с автопереключением — предварительно: оба провайдера проверяются на ограниченном объёме живых вопросов, после чего принимается решение об основном и запасном (строка «Проверка на живых данных…» ниже).</t>
        </is>
      </c>
      <c r="K9" s="9" t="inlineStr">
        <is>
          <t>Управляемые API в РФ через LLM Gateway.</t>
        </is>
      </c>
      <c r="L9" s="9" t="inlineStr">
        <is>
          <t>Ранее выбран основным по совокупности; резерв защищает от отказа провайдера.</t>
        </is>
      </c>
      <c r="M9" s="12" t="n">
        <v>3</v>
      </c>
      <c r="N9" s="12" t="n">
        <v>5</v>
      </c>
      <c r="O9" s="13" t="inlineStr">
        <is>
          <t>Оценка автора</t>
        </is>
      </c>
      <c r="P9" s="9" t="inlineStr">
        <is>
          <t>Собственная модель в закрытом контуре, внешние API остаются до срабатывания триггера.</t>
        </is>
      </c>
      <c r="Q9" s="9" t="inlineStr">
        <is>
          <t>Qwen2.5-32B INT4, vLLM, 1× GPU A100 80 ГБ.</t>
        </is>
      </c>
      <c r="R9" s="9" t="inlineStr">
        <is>
          <t>Включается по триггеру (нагрузка, требование ИБ отказаться от внешних API, падение SLA провайдера), не по дате. Одна карта с запасом покрывает пик 3,4–6,75 запроса.</t>
        </is>
      </c>
      <c r="S9" s="20" t="n">
        <v>5</v>
      </c>
      <c r="T9" s="20" t="n">
        <v>10</v>
      </c>
      <c r="U9" s="21" t="inlineStr">
        <is>
          <t>ADR-600</t>
        </is>
      </c>
      <c r="V9" s="9" t="inlineStr">
        <is>
          <t>ADR-300; ADR-500; ADR-600</t>
        </is>
      </c>
    </row>
    <row r="10">
      <c r="A10" s="9" t="n">
        <v>8</v>
      </c>
      <c r="B10" s="10" t="inlineStr">
        <is>
          <t>Контейнер</t>
        </is>
      </c>
      <c r="C10" s="11" t="inlineStr">
        <is>
          <t>Эмбеддинги (модель поиска)</t>
        </is>
      </c>
      <c r="D10" s="9" t="inlineStr">
        <is>
          <t>Backend (поиск); embedding-inference (MVP); ETL индексации; Qdrant; Triage (запасной k-NN)</t>
        </is>
      </c>
      <c r="E10" s="9" t="inlineStr">
        <is>
          <t>sentence-transformers; multilingual-e5-small (CPU) на прототипе; BGE-M3 (GPU) на MVP</t>
        </is>
      </c>
      <c r="F10" s="9" t="inlineStr">
        <is>
          <t>`multilingual-e5-small` на CPU: 0,46 ГБ, 22–37 мс на запрос (замеры 24.09.2026) — укладывается в бюджет 100 мс с запасом ≈3–4,5 раза. Стек: библиотека sentence-transformers (`SentenceTransformerEmbedder`, `app/kb/search.py`); модель задаётся параметром `embedding_model` (`app/config.py`); тот же эмбеддер использует запасной классификатор Triage.</t>
        </is>
      </c>
      <c r="G10" s="9" t="inlineStr">
        <is>
          <t>Сравнение моделей проведено в ADR-300, раздел 2 (задержка и размер — замер `scripts/measure_search_models.py`); замер поиска на прототипе — `golden_set/measurement.json` (e5-small: 20 из 20 на вопросах корпуса, 12 из 30 на первом месте и 23 из 30 в первой тройке на живых формулировках). Почему BGE-M3 для MVP: многоязычная, длинные тексты, общий каркас с реранкером BGE-reranker-v2-m3 — это свойства модели, а не замер на своих данных; подробно и с перечнем кандидатов — ADR-300, «Почему BGE-M3 — кандидат для MVP и что будет сравниваться». Кандидаты: BGE-M3: 2,14 ГиБ (fp32; прежние 4,25 ГБ — две копии весов в кэше), 210–300 мс на CPU (в 2–3 раза выше бюджета; на GPU не измерялась), качество на русском не проверено на эталонном наборе. GigaChat Embeddings — только для офлайн-индексации: запрос минует обезличивание.</t>
        </is>
      </c>
      <c r="H10" s="9" t="inlineStr">
        <is>
          <t>ADR-300, раздел 2 «Эмбеддинги» и подраздел «Почему BGE-M3 — кандидат для MVP и что будет сравниваться»; замер поиска — golden_set/measurement.json; скрипт замера — scripts/measure_search_models.py</t>
        </is>
      </c>
      <c r="I10" s="9" t="inlineStr">
        <is>
          <t>Смена модели — самое дорогое решение для отмены: версия хранится в каждом векторе, смена = полная переиндексация. Сравнение e5-small и BGE-M3 по качеству не проведено.</t>
        </is>
      </c>
      <c r="J10" s="9" t="inlineStr">
        <is>
          <t>В кластере владельца GPU нет: на MVP — e5-small на CPU (36–37 мс на запрос, замер); BGE-M3 на GPU — только если владелец после проверки на реальных данных решит добавить GPU-узел (строка «GPU-узел в кластере владельца»); сами тесты BGE-M3 идут офлайн на CPU. Модель выбирается по тесту 4–5 моделей (e5-small, e5-large, BGE-M3, модели, дообученные на русском) на размеченном наборе из живых обращений; пороги подбираются под каждую модель (ADR-600, «Тест моделей эмбеддингов для MVP»). Размеченный набор берётся из строки «Анализ всех типов…».</t>
        </is>
      </c>
      <c r="K10" s="9" t="inlineStr">
        <is>
          <t>Без GPU: sentence-transformers, e5-small на CPU (2 реплики). С GPU-узлом: BGE-M3, сервис `embedding-inference`.</t>
        </is>
      </c>
      <c r="L10" s="9" t="inlineStr">
        <is>
          <t>Многоязычная модель, по репутации лучше на русском; решение принимается один раз на этап после замера на эталонном наборе.</t>
        </is>
      </c>
      <c r="M10" s="17" t="n">
        <v>10</v>
      </c>
      <c r="N10" s="17" t="n">
        <v>14</v>
      </c>
      <c r="O10" s="18" t="inlineStr">
        <is>
          <t>Из блока ADR-600: Качество поиска и классификации</t>
        </is>
      </c>
      <c r="P10" s="9" t="inlineStr">
        <is>
          <t>Как на MVP (изменений нет).</t>
        </is>
      </c>
      <c r="Q10" s="9" t="inlineStr">
        <is>
          <t>BGE-M3 на том же GPU-пуле.</t>
        </is>
      </c>
      <c r="R10" s="9" t="inlineStr">
        <is>
          <t>Модель поиска не зависит от того, чья модель генерирует ответ; карта A100 на тираже нужна только генерации. Модель для тиража подтверждается повторным решением по живой статистике MVP.</t>
        </is>
      </c>
      <c r="S10" s="19" t="n"/>
      <c r="T10" s="19" t="n"/>
      <c r="U10" s="9" t="n"/>
      <c r="V10" s="9" t="inlineStr">
        <is>
          <t>ADR-300; ADR-500</t>
        </is>
      </c>
    </row>
    <row r="11">
      <c r="A11" s="9" t="n">
        <v>9</v>
      </c>
      <c r="B11" s="10" t="inlineStr">
        <is>
          <t>Контейнер</t>
        </is>
      </c>
      <c r="C11" s="11" t="inlineStr">
        <is>
          <t>Реранкер (переранжирование топ-20 → топ-3)</t>
        </is>
      </c>
      <c r="D11" s="9" t="inlineStr">
        <is>
          <t>Backend (поиск); reranker-inference (MVP); ETL индексации (офлайн-роль)</t>
        </is>
      </c>
      <c r="E11" s="9" t="inlineStr">
        <is>
          <t>sentence-transformers (кросс-энкодер); BAAI/bge-reranker-v2-m3; на прототипе выключен</t>
        </is>
      </c>
      <c r="F11" s="9" t="inlineStr">
        <is>
          <t>Реализован и проверен, но выключен (`RERANKER_ENABLED=false`): кросс-энкодер BGE-reranker-v2-m3 на CPU считает 5,8–25 с (последний замер 24.09.2026 — 7,2 с) при бюджете 100 мс; на GPU не измерялся.</t>
        </is>
      </c>
      <c r="G11" s="9" t="inlineStr">
        <is>
          <t>Поиск без переранжирования (топ-3 сразу из косинуса) — единственный вариант на CPU. BGE-reranker-v2-m3 выбран как целевой: многоязычный, из того же семейства, что BGE-M3, и проверен на 30 живых формулировках (первое место у 21 из 30 вместо 7, MRR 0,79 вместо 0,52) — но замер устарел: сделан на корпусе из 20 фрагментов, где топ-20 — весь корпус; на текущем индексе косинус даёт 12 из 30, выигрыш реранкера над ним не измерялся, а на 30–100 тыс. векторов MVP зависит от полноты первой ступени. Другие реранкеры (jina-reranker-v2, mMiniLM, bge-reranker-v2-gemma) не измерялись.</t>
        </is>
      </c>
      <c r="H11" s="9" t="inlineStr">
        <is>
          <t>ADR-300, раздел 3 «Переранжирование» и подраздел «Почему BGE-reranker-v2-m3 — кандидат для MVP и что будет сравниваться»; офлайн-роль — там же, подраздел «Офлайн-роль при индексации: отсев дублей (не решено)»; замер — golden_set/reranking.json</t>
        </is>
      </c>
      <c r="I11" s="9" t="inlineStr">
        <is>
          <t>Онлайн-роль зависит от GPU. Офлайн-роль (выбор представительного чанка среди дублей) в коде не реализована и не подтверждена: модель обучена на паре «запрос — документ», а запроса при индексации нет. Отдельной офлайн-модели не выбрано: на схеме ETL указана та же BGE-reranker-v2-m3 (блок «Reranker Client (offline)» после блока «Quality &amp; Dedup Filter»: MinHash/SimHash, Жаккар ≥ 0,9, quality_score). Расчёт по замеру: 7,2 с на 20 кандидатов ≈ 0,36 с на пару, за окно 3 ч ≈ 30 000 пар; на паре «фрагмент — фрагмент» время не измерялось. Варианты отсева: quality_score, центроид, кросс-энкодер, косинусный порог (ADR-300, раздел 3); доля дублей в корпусе не измерялась.</t>
        </is>
      </c>
      <c r="J11" s="9" t="inlineStr">
        <is>
          <t>Без GPU-узла остаётся выключенным (на CPU 7,2 с при бюджете 100 мс); включается только если владелец после проверки на реальных данных решит купить GPU-узел. Порядок теста (24.09.2026): (1) базовая линия качества ответов без реранкера на реальных данных — не менее 200 обращений, оценка эксперта (1,5–2 чел-дн); (2) разбор ошибок: верного фрагмента нет в топ-20 / есть в топ-20, но не в топ-3 (реранкер может исправить только их) / ошибка генерации (1–2 чел-дн); (3) тест 2–3 реранкеров офлайн на CPU на тех же вопросах, оценка изменившихся ответов (2–4 чел-дн); (4) решение о GPU: реранкер включается и GPU арендуется, только если без реранкера не проходят пороги А и Б, а реранкер их исправляет. Порог пустых выдач (критерий В): не более 3% вопросов с ответом, пустых из-за порядка; рабочее значение автора. Порядок в коде: кандидаты по косинусу → реранкер → первые три → отсев по косинусному порогу 0,872; реранкер может поднять наверх фрагменты с низким косинусом, они отсекутся, выдача станет неполной или пустой — не измерялось. В тесте сравниваются порядки «реранкер → порог» и «порог → реранкер» по hit@1, hit@3, MRR и доле пустых выдач (считается по каждому вопросу на одних и тех же 20 кандидатах: пустая выдача; меньше трёх; пустая из-за порядка — пуста при «реранкер → порог», но не пуста без реранкера; верный фрагмент отсечён порогом; условный пример на 10 вопросах — в ADR-600; у порядка «порог → реранкер» пустых из-за порядка по построению нет; вопросы без ответа в базе размечаются отдельно и считаются отдельно) (в пределах шагов 4–5, оценка автора; правка порядка в коде, если понадобится, ≈0,5 чел-дн внутри оценки). Добавлено 3–5 чел-дн к прежним 5–7 (оценка автора). Единая выборка 300–400 обращений для эмбеддингов, реранкера и проверки провайдеров; ответы генерируются один раз в блоке проверки провайдеров (он идёт раньше), здесь оценивается только качество; если выборки разные — +0,5–1 чел-дн, вне итога. Время эксперта водоканала (не чел-дн команды): 29–52 ч ≈ 4–6,5 рабочих дня — верный фрагмент базы или пометка «ответа в базе нет» для 300–400 обращений 15–33 ч, оценка 200 ответов 10–13 ч, оценка изменившихся ответов 3–4 ч, подтверждение порогов 1–2 ч (оценка автора); наличие эксперта неизвестно. Замер офлайн-роли (2–3 чел-дн): доля кластеров дублей на реальных документах, четыре способа выбора представителя (quality_score, центроид, кросс-энкодер, косинусный порог), проверка экспертом, что нужный текст не потерян; при неподтверждении кросс-энкодера офлайн-роль снимается, отсев строится на остальных способах; состав работы — предложение автора от 25.09.2026, порог «заметно лучше» не определён. Тест 2–3 моделей реранкера на размеченном наборе с порогом под каждую (8–12 чел-дн вместе с базовой линией ответов и разбором ошибок, см. порядок ниже); первым шагом — повторный замер базовой линии на текущем индексе, прежний сделан на корпусе из 20 фрагментов — после выбора модели эмбеддингов.</t>
        </is>
      </c>
      <c r="K11" s="9" t="inlineStr">
        <is>
          <t>Без GPU: выключен. С GPU-узлом: BGE-reranker-v2-m3, сервис `reranker-inference`.</t>
        </is>
      </c>
      <c r="L11" s="9" t="inlineStr">
        <is>
          <t>Уточнение выдачи; на GPU укладывается в бюджет задержки.</t>
        </is>
      </c>
      <c r="M11" s="17" t="n">
        <v>10</v>
      </c>
      <c r="N11" s="17" t="n">
        <v>15</v>
      </c>
      <c r="O11" s="18" t="inlineStr">
        <is>
          <t>Из блока ADR-600: Качество поиска и классификации</t>
        </is>
      </c>
      <c r="P11" s="14" t="inlineStr">
        <is>
          <t>Без изменений</t>
        </is>
      </c>
      <c r="Q11" s="15" t="n"/>
      <c r="R11" s="15" t="n"/>
      <c r="S11" s="16" t="n"/>
      <c r="T11" s="16" t="n"/>
      <c r="U11" s="15" t="n"/>
      <c r="V11" s="9" t="inlineStr">
        <is>
          <t>ADR-300; C3/C4_L3_ETL_RAG_1</t>
        </is>
      </c>
    </row>
    <row r="12">
      <c r="A12" s="9" t="n">
        <v>10</v>
      </c>
      <c r="B12" s="10" t="inlineStr">
        <is>
          <t>Контейнер</t>
        </is>
      </c>
      <c r="C12" s="11" t="inlineStr">
        <is>
          <t>Векторная база (Qdrant)</t>
        </is>
      </c>
      <c r="D12" s="9" t="inlineStr">
        <is>
          <t>Qdrant; Backend (читает); ETL индексации (пишет)</t>
        </is>
      </c>
      <c r="E12" s="9" t="inlineStr">
        <is>
          <t>Qdrant (docker `qdrant/qdrant`); клиент qdrant-client; индекс HNSW (m=16, ef=128); payload-индексы; blue-green алиасы коллекций</t>
        </is>
      </c>
      <c r="F12" s="9" t="inlineStr">
        <is>
          <t>Qdrant в `docker compose`; в коде по умолчанию корпус в памяти. Есть фильтр по типу обращения и переключение индекса без остановки поиска (blue-green алиас).</t>
        </is>
      </c>
      <c r="G12" s="9" t="inlineStr">
        <is>
          <t>Объём заложен: несколько тысяч документов (3 000–5 000) × 10–20 частей на документ (допущение) = 30 000–100 000 векторов размерности 1 024 (BGE-M3), 123–410 МБ. Замер Qdrant на 100 000 случайных векторов: 477 МБ на диске, ОЗУ 527 МиБ; P50 27,5 мс / P99 64,9 мс без фильтра, 14,3 / 36,8 мс с фильтром по типу — в бюджете 100 мс. pgvector не отклонён по качеству: на этом объёме рабочая альтернатива (не измерялась), Qdrant выбран из-за алиасов коллекций (blue-green уже в коде) и отдельной нагрузки от основной базы. Milvus и OpenSearch — по документации, не измерялись.</t>
        </is>
      </c>
      <c r="H12" s="9" t="inlineStr">
        <is>
          <t>ADR-200, раздел «Сравнение вариантов по слоям», подраздел «Почему Qdrant, а не другая векторная база» (и строка «Векторный поиск (целевое)» в таблице «Хранилища»)</t>
        </is>
      </c>
      <c r="I12" s="9" t="inlineStr">
        <is>
          <t>Образ в compose не привязан к версии (`latest`) — для продакшена версию надо зафиксировать.</t>
        </is>
      </c>
      <c r="J12" s="9" t="inlineStr">
        <is>
          <t>Qdrant self-hosted в Kubernetes на быстром диске, с резервным копированием.</t>
        </is>
      </c>
      <c r="K12" s="9" t="inlineStr">
        <is>
          <t>Qdrant, StatefulSet + PVC на NVMe.</t>
        </is>
      </c>
      <c r="L12" s="9" t="inlineStr">
        <is>
          <t>Целевое хранилище векторов; миграция — смена конфигурации, код уже проверен на реальном сервере.</t>
        </is>
      </c>
      <c r="M12" s="12" t="n">
        <v>3</v>
      </c>
      <c r="N12" s="12" t="n">
        <v>5</v>
      </c>
      <c r="O12" s="13" t="inlineStr">
        <is>
          <t>Оценка автора</t>
        </is>
      </c>
      <c r="P12" s="14" t="inlineStr">
        <is>
          <t>Без изменений</t>
        </is>
      </c>
      <c r="Q12" s="15" t="n"/>
      <c r="R12" s="15" t="n"/>
      <c r="S12" s="16" t="n"/>
      <c r="T12" s="16" t="n"/>
      <c r="U12" s="15" t="n"/>
      <c r="V12" s="9" t="inlineStr">
        <is>
          <t>ADR-200; ADR-100</t>
        </is>
      </c>
    </row>
    <row r="13">
      <c r="A13" s="9" t="n">
        <v>11</v>
      </c>
      <c r="B13" s="10" t="inlineStr">
        <is>
          <t>Контейнер</t>
        </is>
      </c>
      <c r="C13" s="11" t="inlineStr">
        <is>
          <t>Данные абонента (чтение из Биллинга и Диспетчерской)</t>
        </is>
      </c>
      <c r="D13" s="9" t="inlineStr">
        <is>
          <t>Backend (читает); Биллинг и Диспетчерская (источники, внешние); Redis (кэш — только после замера)</t>
        </is>
      </c>
      <c r="E13" s="9" t="inlineStr">
        <is>
          <t>Прототип: словари в памяти процесса из CSV. MVP: клиенты XML-RPC (Биллинг) и REST (Диспетчерская) в Backend, параллельные вызовы, таймауты и повторы; без Postgres-представления; кэш Redis — по итогам замера</t>
        </is>
      </c>
      <c r="F13" s="9" t="inlineStr">
        <is>
          <t>Пример Биллинга и ЛК (200 счетов, 203 счётчика, 1323 начисления) читается из CSV при старте в словари в памяти процесса (`app/billing/source.py`). Postgres и Redis для данных абонента на прототипе не используются. Источник стоит за интерфейсом, на MVP его заменяет клиент к настоящим API (оценка автора, не проверялось).</t>
        </is>
      </c>
      <c r="G13" s="9" t="inlineStr">
        <is>
          <t>Заказчик проекта 25.09.2026: данные абонента нужны онлайн из систем. Поэтому основной путь — чтение из Биллинга (XML-RPC) и Диспетчерской (REST) на каждый вопрос; вызовы параллельные, только за нужными данными; при отказе системы — ответ «данных сейчас нет», без подстановки старых. Отклонены: слепок в памяти (данные не обновляются, у реплик разный возраст), предрасчёт по расписанию в материализованном представлении Postgres (был в плане; данные отстают на период пересчёта), Feature Store (Feast/Tecton — избыточен и свежесть не решает). Кэш Redis с коротким сроком жизни — только после замера: включается, если время вызова API не укладывается в бюджет ответа либо лимиты владельца ниже нагрузки. Задержка и лимиты API не измерялись (доступа нет). Сравнение по требованиям и документации, не по пробному внедрению.</t>
        </is>
      </c>
      <c r="H13" s="9" t="inlineStr">
        <is>
          <t>ADR-200, раздел «Сравнение вариантов по слоям», подраздел «Данные абонента: читаем из систем в момент вопроса, кэш — после замера»; замер — ADR-600, «Замер чтения данных абонента из систем»</t>
        </is>
      </c>
      <c r="I13" s="9" t="inlineStr">
        <is>
          <t>Скорость, лимиты и доступность API Биллинга и Диспетчерской неизвестны, доступа к ним нет; задержка ответа теперь зависит от чужих систем. Доля вопросов, которым нужны данные абонента, не измерена. Нагрузка на системы владельца пропорциональна числу вопросов: до 0,058 вызова/с на MVP и 0,656 на тираже в максимуме прогноза (верхняя оценка — один вызов на вопрос).</t>
        </is>
      </c>
      <c r="J13" s="9" t="inlineStr">
        <is>
          <t>Чтение из Биллинга и Диспетчерской в момент вопроса; таймауты, повторы и ответ «данных сейчас нет» при отказе системы; замер времени вызовов и лимитов API (ADR-600, «Замер чтения данных абонента из систем»); кэш Redis — по итогам замера. Сами клиенты API — в строках «Backend ↔ Биллинг» и «Backend ↔ Диспетчерская».</t>
        </is>
      </c>
      <c r="K13" s="9" t="inlineStr">
        <is>
          <t>Клиенты XML-RPC и REST в Backend, параллельные вызовы (asyncio), таймауты и повторы. Без Postgres-представления и без задания по расписанию. Redis со сроком жизни в минуты — только по итогам замера.</t>
        </is>
      </c>
      <c r="L13" s="9" t="inlineStr">
        <is>
          <t>Данные абонента (баланс, начисления, показания, заявки) меняются; ответ по предрасчитанной сводке может оказаться неверным (требование заказчика 25.09.2026).</t>
        </is>
      </c>
      <c r="M13" s="22" t="n">
        <v>2.5</v>
      </c>
      <c r="N13" s="12" t="n">
        <v>4</v>
      </c>
      <c r="O13" s="13" t="inlineStr">
        <is>
          <t>Оценка автора; замер API — ADR-600</t>
        </is>
      </c>
      <c r="P13" s="14" t="inlineStr">
        <is>
          <t>Без изменений</t>
        </is>
      </c>
      <c r="Q13" s="15" t="n"/>
      <c r="R13" s="15" t="n"/>
      <c r="S13" s="16" t="n"/>
      <c r="T13" s="16" t="n"/>
      <c r="U13" s="15" t="n"/>
      <c r="V13" s="9" t="inlineStr">
        <is>
          <t>ADR-200; ADR-600</t>
        </is>
      </c>
    </row>
    <row r="14">
      <c r="A14" s="9" t="n">
        <v>12</v>
      </c>
      <c r="B14" s="10" t="inlineStr">
        <is>
          <t>Контейнер</t>
        </is>
      </c>
      <c r="C14" s="11" t="inlineStr">
        <is>
          <t>Redis (квоты, состояние диалога)</t>
        </is>
      </c>
      <c r="D14" s="9" t="inlineStr">
        <is>
          <t>Redis; LLM Gateway (лимиты); Backend (сессии диалога)</t>
        </is>
      </c>
      <c r="E14" s="9" t="inlineStr">
        <is>
          <t>Redis 7 (docker `redis:7-alpine`); клиент redis-py</t>
        </is>
      </c>
      <c r="F14" s="9" t="inlineStr">
        <is>
          <t>Redis 7 в `docker compose`. Лимиты: фиксированная минута, при недоступности хранилища запросы отклоняются (503), а не пропускаются.</t>
        </is>
      </c>
      <c r="G14" s="9" t="inlineStr">
        <is>
          <t>Redis выбран против Memcached (нет структур для сессии), таблицы счётчиков в Postgres (по нагрузке справился бы — пик до 0,66 вопроса/с на тираже в максимуме прогноза; счётчик с окном пришлось бы писать вручную) и счётчиков в памяти процесса (лимиты обнуляются при перезапуске, fail-open).</t>
        </is>
      </c>
      <c r="H14" s="9" t="inlineStr">
        <is>
          <t>ADR-200, раздел «Сравнение вариантов по слоям», подраздел «Почему PostgreSQL и Redis»</t>
        </is>
      </c>
      <c r="I14" s="9" t="inlineStr">
        <is>
          <t>Фиксированное окно даёт двойной лимит на стыке минут — на десятках запросов в минуту это несущественно.</t>
        </is>
      </c>
      <c r="J14" s="9" t="inlineStr">
        <is>
          <t>Redis в кластере на постоянном диске.</t>
        </is>
      </c>
      <c r="K14" s="9" t="inlineStr">
        <is>
          <t>Redis, StatefulSet + PVC.</t>
        </is>
      </c>
      <c r="L14" s="9" t="inlineStr">
        <is>
          <t>Состояние и счётчики должны переживать перезапуск пода.</t>
        </is>
      </c>
      <c r="M14" s="12" t="n">
        <v>2</v>
      </c>
      <c r="N14" s="12" t="n">
        <v>3</v>
      </c>
      <c r="O14" s="13" t="inlineStr">
        <is>
          <t>Оценка автора</t>
        </is>
      </c>
      <c r="P14" s="14" t="inlineStr">
        <is>
          <t>Без изменений</t>
        </is>
      </c>
      <c r="Q14" s="15" t="n"/>
      <c r="R14" s="15" t="n"/>
      <c r="S14" s="16" t="n"/>
      <c r="T14" s="16" t="n"/>
      <c r="U14" s="15" t="n"/>
      <c r="V14" s="9" t="inlineStr">
        <is>
          <t>ADR-200; ADR-400</t>
        </is>
      </c>
    </row>
    <row r="15">
      <c r="A15" s="9" t="n">
        <v>13</v>
      </c>
      <c r="B15" s="10" t="inlineStr">
        <is>
          <t>Контейнер</t>
        </is>
      </c>
      <c r="C15" s="11" t="inlineStr">
        <is>
          <t>Postgres (обращения, слепки, события, телеметрия)</t>
        </is>
      </c>
      <c r="D15" s="9" t="inlineStr">
        <is>
          <t>Postgres; Backend (обращения, профили); LLM Gateway (события использования); Сервис работы с обращениями</t>
        </is>
      </c>
      <c r="E15" s="9" t="inlineStr">
        <is>
          <t>PostgreSQL 16 (docker `postgres:16-alpine`); драйвер psycopg 3; SQL-скрипты инициализации `docker/postgres/init/`</t>
        </is>
      </c>
      <c r="F15" s="9" t="inlineStr">
        <is>
          <t>Postgres 16 в `docker compose`: слепки Биллинга, ЛК и обращений, таблицы обращений, `usage_events`, `quality_reports`.</t>
        </is>
      </c>
      <c r="G15" s="9" t="inlineStr">
        <is>
          <t>PostgreSQL выбран против MySQL/MariaDB (нечего добавить к PostgreSQL) и SQLite (один файл, не для нескольких сервисов). Телеметрия остаётся в Postgres, а не в ClickHouse: до ≈0,8 млн событий в год на тираже; замер 2 млн строк — 589 МБ, агрегаты за секунды (ADR-200).</t>
        </is>
      </c>
      <c r="H15" s="9" t="inlineStr">
        <is>
          <t>ADR-200, раздел «Сравнение вариантов по слоям», подраздел «Почему PostgreSQL и Redis»; телеметрия — подраздел «Телеметрия: почему Postgres, а не ClickHouse»</t>
        </is>
      </c>
      <c r="I15" s="9" t="inlineStr">
        <is>
          <t>На прототипе обращения пишутся прямо в таблицу — микросервиса владельца в закрытой сети нет; слепки вместо живых систем.</t>
        </is>
      </c>
      <c r="J15" s="9" t="inlineStr">
        <is>
          <t>Postgres в Kubernetes для состояния, обращений и телеметрии (события использования, отчёты качества); слепки уходят — данные идут через API владельцев.</t>
        </is>
      </c>
      <c r="K15" s="9" t="inlineStr">
        <is>
          <t>Postgres, StatefulSet + PVC, резервное копирование.</t>
        </is>
      </c>
      <c r="L15" s="9" t="inlineStr">
        <is>
          <t>Целевая схема: своей копии чужих данных быть не должно. Отдельная СУБД под телеметрию не нужна: объём мал (строка «ClickHouse» убрана, её оценка 2–4 чел-дн снята).</t>
        </is>
      </c>
      <c r="M15" s="12" t="n">
        <v>3</v>
      </c>
      <c r="N15" s="12" t="n">
        <v>5</v>
      </c>
      <c r="O15" s="13" t="inlineStr">
        <is>
          <t>Оценка автора</t>
        </is>
      </c>
      <c r="P15" s="9" t="inlineStr">
        <is>
          <t>Срок хранения подробных событий 12 месяцев, сводная таблица по дням и секции по месяцам; замер на 4 млн строк.</t>
        </is>
      </c>
      <c r="Q15" s="9" t="inlineStr">
        <is>
          <t>Postgres: секционирование по месяцам, сводная таблица (материализованное представление или задание по расписанию).</t>
        </is>
      </c>
      <c r="R15" s="9" t="inlineStr">
        <is>
          <t>На 12 млн строк агрегат по всей таблице занимает 39 с (замер); без ограничения срока хранения аналитика замедляется.</t>
        </is>
      </c>
      <c r="S15" s="12" t="n">
        <v>2</v>
      </c>
      <c r="T15" s="12" t="n">
        <v>3</v>
      </c>
      <c r="U15" s="13" t="inlineStr">
        <is>
          <t>Оценка автора</t>
        </is>
      </c>
      <c r="V15" s="9" t="inlineStr">
        <is>
          <t>ADR-100; ADR-200</t>
        </is>
      </c>
    </row>
    <row r="16">
      <c r="A16" s="9" t="n">
        <v>14</v>
      </c>
      <c r="B16" s="10" t="inlineStr">
        <is>
          <t>Контейнер</t>
        </is>
      </c>
      <c r="C16" s="11" t="inlineStr">
        <is>
          <t>Индексация базы знаний (ETL)</t>
        </is>
      </c>
      <c r="D16" s="9" t="inlineStr">
        <is>
          <t>ETL индексации; Qdrant; embedding-inference; хранилище документов базы знаний</t>
        </is>
      </c>
      <c r="E16" s="9" t="inlineStr">
        <is>
          <t>Python-скрипт `scripts/reindex_kb.py` (сервис `reindex` в docker compose): python-docx → нарезка частей до 300 знаков → Presidio (проверка ПДн) → sentence-transformers (e5-small, CPU) → qdrant-client (blue-green алиас); MVP — K8s CronJob, Celery в коде нет</t>
        </is>
      </c>
      <c r="F16" s="9" t="inlineStr">
        <is>
          <t>Сервис `reindex` в compose: одноразовый прогон при подъёме стека (`scripts/reindex_kb.py`), запись в новую коллекцию и атомарное переключение алиаса; Backend только подключается к готовому индексу. Очереди задач и Celery в коде нет. В базе сейчас 27 источников (20 пар FAQ и 7 синтетических документов Word) → 51 фрагмент → 190 векторов.</t>
        </is>
      </c>
      <c r="G16" s="9" t="inlineStr">
        <is>
          <t>Планировщик по расписанию выбран против Airflow (платформа ради одного задания) и cron внутри Backend (нет изоляции от ответов абонентам) — по документации, пробного внедрения не было. Celery Beat в коде не используется. Объём MVP — несколько тысяч документов (3 000–5 000), 30 000–100 000 частей (допущение); по замеру на CPU e5-small индексирует их за ≈14–46 мин, BGE-M3 — за ≈2,7–9,6 ч при окне 3 ч; на GPU скорость не измерялась. Отсев дублей при индексации: в коде нет, решение не принято. Варианты (ADR-300, раздел 3): А — MinHash/SimHash + quality_score; Б — центроидное сходство; В — кросс-энкодер офлайн (проект схемы ETL); Г — косинусный порог между частями (предложение автора 25.09.2026). Сравнение — «замер офлайн-роли реранкера», 2–3 чел-дн (ADR-600).</t>
        </is>
      </c>
      <c r="H16" s="9" t="inlineStr">
        <is>
          <t>ADR-200, раздел «Сравнение вариантов по слоям», подраздел «Почему индексация — задание по расписанию, а не Airflow» и подраздел «Индексация базы знаний: что реализовано и какой объём»; отсев дублей — ADR-300, раздел 3, подраздел «Офлайн-роль при индексации: отсев дублей (не решено)»</t>
        </is>
      </c>
      <c r="I16" s="9" t="inlineStr">
        <is>
          <t>Изоляция GPU между индексацией и онлайн-ответами не решена: массовая переиндексация может увеличить задержку ответа. Свежие документы попадают в индекс с задержкой до ночного окна.</t>
        </is>
      </c>
      <c r="J16" s="9" t="inlineStr">
        <is>
          <t>Ночное окно 02:00–05:00: забор документов, очистка, эмбеддинги на GPU, полный реиндекс. Что «окна хватит» на 30–100 тыс. частей на GPU — допущение, скорость на GPU не измерялась; источник и формат настоящих документов владелец не назвал. Отсев дублей: способ не выбран (строка «Реранкер», замер офлайн-роли 2–3 чел-дн), в оценку 4–6 чел-дн отдельно не выделен.</t>
        </is>
      </c>
      <c r="K16" s="9" t="inlineStr">
        <is>
          <t>Kubernetes CronJob, окно обслуживания, жёсткая граница по времени. Разбор — python-docx; ПДн — Presidio; эмбеддинги — модель по итогам теста (BGE-M3 предварительно); запись — qdrant-client, blue-green алиас.</t>
        </is>
      </c>
      <c r="L16" s="9" t="inlineStr">
        <is>
          <t>Не успели — задание прерывается, продолжение в следующем окне; индекс не повреждается, алиас переключается после полного успеха.</t>
        </is>
      </c>
      <c r="M16" s="12" t="n">
        <v>4</v>
      </c>
      <c r="N16" s="12" t="n">
        <v>6</v>
      </c>
      <c r="O16" s="13" t="inlineStr">
        <is>
          <t>Оценка автора</t>
        </is>
      </c>
      <c r="P16" s="9" t="inlineStr">
        <is>
          <t>Изоляция GPU между индексацией и онлайн-инференсом.</t>
        </is>
      </c>
      <c r="Q16" s="9" t="inlineStr">
        <is>
          <t>Приоритетные очереди либо отдельный GPU-пул.</t>
        </is>
      </c>
      <c r="R16" s="9" t="inlineStr">
        <is>
          <t>Появляется вторая постоянная нагрузка на GPU (генерация), и индексация не должна её задерживать.</t>
        </is>
      </c>
      <c r="S16" s="12" t="n">
        <v>3</v>
      </c>
      <c r="T16" s="12" t="n">
        <v>5</v>
      </c>
      <c r="U16" s="13" t="inlineStr">
        <is>
          <t>Оценка автора</t>
        </is>
      </c>
      <c r="V16" s="9" t="inlineStr">
        <is>
          <t>ADR-400; ADR-600; C4_Deployment</t>
        </is>
      </c>
    </row>
    <row r="17">
      <c r="A17" s="9" t="n">
        <v>15</v>
      </c>
      <c r="B17" s="10" t="inlineStr">
        <is>
          <t>Контейнер</t>
        </is>
      </c>
      <c r="C17" s="11" t="inlineStr">
        <is>
          <t>Агент операций записи (Orchestrator, HITL, аудит)</t>
        </is>
      </c>
      <c r="D17" s="9" t="inlineStr">
        <is>
          <t>Agent Orchestrator; Backend; Session State Store (Redis / PostgreSQL); LLM Gateway</t>
        </is>
      </c>
      <c r="E17" s="9" t="inlineStr">
        <is>
          <t>Python; собственный конечный автомат (`app/fsm.py`) на перечислениях; сессии в Redis / PostgreSQL</t>
        </is>
      </c>
      <c r="F17" s="9" t="inlineStr">
        <is>
          <t>Свой конечный автомат (`app/fsm.py`), покрыт тестами, в продакшене не включён. Регистрация обращений идёт упрощённым путём напрямую в таблицу.</t>
        </is>
      </c>
      <c r="G17" s="9" t="inlineStr">
        <is>
          <t>Свой автомат (7 состояний, 10 переходов, 200 строк, перебор всех состояний в тестах) против `transitions` (строковые ключи, дефект уже случался) и LangGraph (второй механизм подтверждения; возможности — ветвление по инструментам, контрольные точки, параллельные ветви — по документации, не пробовались). Вес LangGraph замерен: +34 МиБ ОЗУ и 2,3 с на импорт, ≈2,6% контейнера Backend — не довод против. LangGraph — по триггеру; проверить возможности нечем, пока нет агентного сценария. Другие движки не сравнивались.</t>
        </is>
      </c>
      <c r="H17" s="9" t="inlineStr">
        <is>
          <t>ADR-200, раздел «Backend и оркестрация»: строка «Оркестрация агента» и подраздел «Оркестрация агента: собственная таблица переходов, LangGraph — по триггеру»</t>
        </is>
      </c>
      <c r="I17" s="9" t="inlineStr">
        <is>
          <t>Оценка function-calling у провайдеров РФ для роли агента — открытый вопрос. Реплика с несколькими задачами разбирается и отвечается по частям; регистрация предлагается по первой подходящей части, несколько черновиков не хранятся; из условий проверяется только наличие долга (ADR-200). Доля реплик с двумя и более задачами по разметке не измерена: выше 5% — переход на LangGraph.</t>
        </is>
      </c>
      <c r="J17" s="9" t="inlineStr">
        <is>
          <t>Включение агента: состояние ожидания подтверждения, идемпотентность, аудит (в том числе отказов абонента), проверка черновика до показа.</t>
        </is>
      </c>
      <c r="K17" s="9" t="inlineStr">
        <is>
          <t>Свой FSM, Draft Validator, Audit Writer, Session State Store.</t>
        </is>
      </c>
      <c r="L17" s="9" t="inlineStr">
        <is>
          <t>Запись данных без подтверждённого сценария дороже по ошибке, чем консультация; ни одна запись без явного подтверждения абонента.</t>
        </is>
      </c>
      <c r="M17" s="17" t="n">
        <v>4</v>
      </c>
      <c r="N17" s="17" t="n">
        <v>6</v>
      </c>
      <c r="O17" s="18" t="inlineStr">
        <is>
          <t>Из блока ADR-600: Основная разработка Этапа 2</t>
        </is>
      </c>
      <c r="P17" s="9" t="inlineStr">
        <is>
          <t>Оценка function-calling для роли агента у провайдеров РФ.</t>
        </is>
      </c>
      <c r="Q17" s="9" t="inlineStr">
        <is>
          <t>Прогон эталонных сценариев через кандидатов.</t>
        </is>
      </c>
      <c r="R17" s="9" t="inlineStr">
        <is>
          <t>От результата зависит, можно ли доверить агенту роль на self-hosted модели.</t>
        </is>
      </c>
      <c r="S17" s="20" t="n">
        <v>5</v>
      </c>
      <c r="T17" s="20" t="n">
        <v>5</v>
      </c>
      <c r="U17" s="21" t="inlineStr">
        <is>
          <t>ADR-600</t>
        </is>
      </c>
      <c r="V17" s="9" t="inlineStr">
        <is>
          <t>ADR-100; ADR-200; ADR-400; ADR-600</t>
        </is>
      </c>
    </row>
    <row r="18">
      <c r="A18" s="9" t="n">
        <v>16</v>
      </c>
      <c r="B18" s="23" t="inlineStr">
        <is>
          <t>Сквозная работа</t>
        </is>
      </c>
      <c r="C18" s="11" t="inlineStr">
        <is>
          <t>Переход агента на LangGraph (по триггеру)</t>
        </is>
      </c>
      <c r="D18" s="9" t="inlineStr">
        <is>
          <t>Agent Orchestrator; Session State Store (Redis / PostgreSQL); Billing Adapter, Сервис работы с обращениями, Диспетчерская (как инструменты); LLM Gateway</t>
        </is>
      </c>
      <c r="E18" s="9" t="inlineStr">
        <is>
          <t>Python; LangGraph `StateGraph`, `interrupt_before` (или без него); хранилище контрольных точек; отключённая телеметрия `langsmith`</t>
        </is>
      </c>
      <c r="F18" s="9" t="inlineStr">
        <is>
          <t>Не выполняется: автомат — собственная таблица переходов (`app/fsm.py`, 7 состояний, 10 переходов). Работа появляется только при наступлении одного из четырёх триггеров (модель выбирает следующий шаг после вызова инструмента; шаг ждёт событие дольше 30 минут и должен продолжиться с того же шага; две и более одновременные ветви со своими повторами и слиянием; доля реплик с двумя и более задачами выше 5%). Проверяется при постановке сценария Этапа 2 в разработку, при его изменении и при пересмотре по метрикам Этапа 1; журнал проверки — в ADR-200; пока ни один сценарий не поставлен.</t>
        </is>
      </c>
      <c r="G18" s="9" t="inlineStr">
        <is>
          <t>Свой автомат против `transitions` и LangGraph — ADR-200, подраздел «Оркестрация агента». LangGraph нужен, если агент сам выбирает инструмент, если нужны контрольные точки шагов, если появились параллельные ветви со своим состоянием; для фиксированной заявки с одним подтверждением не нужен.</t>
        </is>
      </c>
      <c r="H18" s="9" t="inlineStr">
        <is>
          <t>ADR-200, подраздел «Оркестрация агента: собственная таблица переходов, LangGraph — по триггеру», в том числе «В каком случае LangGraph нужен — подробно»</t>
        </is>
      </c>
      <c r="I18" s="9" t="inlineStr">
        <is>
          <t>Оценка function-calling у GigaChat и YandexGPT не проведена; возможности LangGraph в проекте не пробовались; телеметрия библиотеки (`langsmith`) не проверена на соответствие 152-ФЗ. Четвёртый триггер — доля реплик абонентов с двумя и более задачами выше 5% (измерение на выгрузке живых обращений и затем ежемесячно по чату). Оценка по триггерам: общая часть 5–9 чел-дн; с триггером 1 — 8–14, 2 — 7–12, 3 — 7–12, 4 — 7–13; все четыре — 14–24 (диапазон 7–24).</t>
        </is>
      </c>
      <c r="J18" s="9" t="inlineStr">
        <is>
          <t>Перенос таблицы переходов в граф без изменения состава переходов; `interrupt_before` вместо проверки состояния или не применяется; контрольные точки (Redis с сохранением или Postgres) и удаление ПДн из состояния; при триггере 1 — инструменты (Биллинг, обращения, Диспетчерская) с ограничением шагов, идемпотентностью и аудитом; отключение внешней телеметрии библиотеки; регрессия; при триггере 4 — перенос детектора намерений и очереди задач в граф, условные задачи.</t>
        </is>
      </c>
      <c r="K18" s="9" t="inlineStr">
        <is>
          <t>Python; LangGraph `StateGraph`; хранилище контрольных точек — Redis с сохранением или Postgres.</t>
        </is>
      </c>
      <c r="L18" s="9" t="inlineStr">
        <is>
          <t>Только по триггеру: возможности, ради которых берут библиотеку, на текущем сценарии проверить нечем. Работа не входит в итог сметы — показана отдельным столбцом.</t>
        </is>
      </c>
      <c r="M18" s="12" t="n">
        <v>7</v>
      </c>
      <c r="N18" s="12" t="n">
        <v>24</v>
      </c>
      <c r="O18" s="13" t="inlineStr">
        <is>
          <t>По триггеру (оценка автора)</t>
        </is>
      </c>
      <c r="P18" s="14" t="inlineStr">
        <is>
          <t>Без изменений</t>
        </is>
      </c>
      <c r="Q18" s="15" t="n"/>
      <c r="R18" s="15" t="n"/>
      <c r="S18" s="16" t="n"/>
      <c r="T18" s="16" t="n"/>
      <c r="U18" s="15" t="n"/>
      <c r="V18" s="9" t="inlineStr">
        <is>
          <t>ADR-200; ADR-600</t>
        </is>
      </c>
    </row>
    <row r="19">
      <c r="A19" s="9" t="n">
        <v>17</v>
      </c>
      <c r="B19" s="10" t="inlineStr">
        <is>
          <t>Контейнер</t>
        </is>
      </c>
      <c r="C19" s="11" t="inlineStr">
        <is>
          <t>Billing Adapter (запись в Биллинг)</t>
        </is>
      </c>
      <c r="D19" s="9" t="inlineStr">
        <is>
          <t>Billing Adapter; Биллинг (внешняя система); Agent Orchestrator (HITL Gate)</t>
        </is>
      </c>
      <c r="E19" s="9" t="inlineStr">
        <is>
          <t>Python; XML-RPC-клиент к API Биллинга; ключ идемпотентности</t>
        </is>
      </c>
      <c r="F19" s="9" t="inlineStr">
        <is>
          <t>Не реализован (запись отложена на Этап 2). Чтение идёт из слепка в Postgres.</t>
        </is>
      </c>
      <c r="G19" s="9" t="inlineStr">
        <is>
          <t>Прямой доступ к чужой БД запрещён: только через API владельца.</t>
        </is>
      </c>
      <c r="H19" s="9" t="inlineStr">
        <is>
          <t>ADR-400, раздел «Сравнение вариантов по слоям безопасности», подраздел «Как выбран способ доступа к внешним системам»</t>
        </is>
      </c>
      <c r="I19" s="9" t="inlineStr">
        <is>
          <t>Сигнатуры API Биллинга от владельца ещё не получены; write-доступ к чужой legacy-системе — отдельная интеграция.</t>
        </is>
      </c>
      <c r="J19" s="9" t="inlineStr">
        <is>
          <t>Запись показаний и операций в Биллинг через XML-RPC с ключом идемпотентности.</t>
        </is>
      </c>
      <c r="K19" s="9" t="inlineStr">
        <is>
          <t>Отдельный контейнер `Billing Adapter`, XML-RPC API Биллинга.</t>
        </is>
      </c>
      <c r="L19" s="9" t="inlineStr">
        <is>
          <t>Единственный разрешённый путь записи в Биллинг; повтор запроса не создаёт дубль.</t>
        </is>
      </c>
      <c r="M19" s="17" t="n">
        <v>4</v>
      </c>
      <c r="N19" s="17" t="n">
        <v>6</v>
      </c>
      <c r="O19" s="18" t="inlineStr">
        <is>
          <t>Из блока ADR-600: Основная разработка Этапа 2</t>
        </is>
      </c>
      <c r="P19" s="14" t="inlineStr">
        <is>
          <t>Без изменений</t>
        </is>
      </c>
      <c r="Q19" s="15" t="n"/>
      <c r="R19" s="15" t="n"/>
      <c r="S19" s="16" t="n"/>
      <c r="T19" s="16" t="n"/>
      <c r="U19" s="15" t="n"/>
      <c r="V19" s="9" t="inlineStr">
        <is>
          <t>ADR-100; ADR-400</t>
        </is>
      </c>
    </row>
    <row r="20">
      <c r="A20" s="9" t="n">
        <v>18</v>
      </c>
      <c r="B20" s="10" t="inlineStr">
        <is>
          <t>Контейнер</t>
        </is>
      </c>
      <c r="C20" s="11" t="inlineStr">
        <is>
          <t>Сервис работы с обращениями</t>
        </is>
      </c>
      <c r="D20" s="9" t="inlineStr">
        <is>
          <t>Сервис работы с обращениями; Микросервис обращений и Диспетчерская (внешние); Agent Orchestrator; Postgres</t>
        </is>
      </c>
      <c r="E20" s="9" t="inlineStr">
        <is>
          <t>Python; на прототипе запись в таблицу Postgres, на Этапе 2 — HTTP API владельца (сигнатуры не получены)</t>
        </is>
      </c>
      <c r="F20" s="9" t="inlineStr">
        <is>
          <t>Обращение пишется в собственную таблицу Postgres, минуя Orchestrator (`app/inquiries/store.py`).</t>
        </is>
      </c>
      <c r="G20" s="9" t="inlineStr">
        <is>
          <t>Целевой путь — внешний микросервис обращений; на прототипе доступа к нему нет.</t>
        </is>
      </c>
      <c r="H20" s="9" t="inlineStr">
        <is>
          <t>ADR-400, раздел «Сравнение вариантов по слоям безопасности», подраздел «Как выбран способ доступа к внешним системам»; ADR-100, таблица «Что явно отложено»</t>
        </is>
      </c>
      <c r="I20" s="9" t="inlineStr">
        <is>
          <t>Микросервис обращений и его API не готовы принимать реальные запросы; код типов обращений не согласован с владельцем.</t>
        </is>
      </c>
      <c r="J20" s="9" t="inlineStr">
        <is>
          <t>Регистрация через API микросервиса обращений; аварийные заявки — в Диспетчерскую (выбор маршрута по типу).</t>
        </is>
      </c>
      <c r="K20" s="9" t="inlineStr">
        <is>
          <t>Отдельный контейнер, Route Selector: emergency → Диспетчерская, остальные типы → микросервис.</t>
        </is>
      </c>
      <c r="L20" s="9" t="inlineStr">
        <is>
          <t>Обращения должны попадать в систему-владельца, откуда их читают подрядчики и конвейер дообучения.</t>
        </is>
      </c>
      <c r="M20" s="17" t="n">
        <v>3</v>
      </c>
      <c r="N20" s="17" t="n">
        <v>5</v>
      </c>
      <c r="O20" s="18" t="inlineStr">
        <is>
          <t>Из блока ADR-600: Основная разработка Этапа 2</t>
        </is>
      </c>
      <c r="P20" s="14" t="inlineStr">
        <is>
          <t>Без изменений</t>
        </is>
      </c>
      <c r="Q20" s="15" t="n"/>
      <c r="R20" s="15" t="n"/>
      <c r="S20" s="16" t="n"/>
      <c r="T20" s="16" t="n"/>
      <c r="U20" s="15" t="n"/>
      <c r="V20" s="9" t="inlineStr">
        <is>
          <t>ADR-100; ADR-600</t>
        </is>
      </c>
    </row>
    <row r="21">
      <c r="A21" s="9" t="n">
        <v>19</v>
      </c>
      <c r="B21" s="10" t="inlineStr">
        <is>
          <t>Контейнер</t>
        </is>
      </c>
      <c r="C21" s="11" t="inlineStr">
        <is>
          <t>Document Generator (бланки заявлений)</t>
        </is>
      </c>
      <c r="D21" s="9" t="inlineStr">
        <is>
          <t>Document Generator; Backend (выдача бланка); S3 / MinIO (MVP)</t>
        </is>
      </c>
      <c r="E21" s="9" t="inlineStr">
        <is>
          <t>Прототип — Python: шаблоны бланков и HTML-лист на печать; MVP — PDF-библиотека (не выбрана) + S3 / MinIO</t>
        </is>
      </c>
      <c r="F21" s="9" t="inlineStr">
        <is>
          <t>Готовый бланк отдаётся HTML-листом для печати из каталога (семь образцов по ПП РФ № 644/776).</t>
        </is>
      </c>
      <c r="G21" s="9" t="inlineStr">
        <is>
          <t>PDF и S3/MinIO нужны только при путях записи — для консультации избыточны.</t>
        </is>
      </c>
      <c r="H21" s="9" t="inlineStr">
        <is>
          <t>ADR-200, раздел «Сравнение вариантов по слоям», подраздел «Документы Этапа 2: PDF и хранилище файлов (решение не принято)»</t>
        </is>
      </c>
      <c r="I21" s="9" t="inlineStr">
        <is>
          <t>Настоящие бланки заявлений не согласованы с владельцем — используются образцы.</t>
        </is>
      </c>
      <c r="J21" s="9" t="inlineStr">
        <is>
          <t>Рендер PDF из шаблона и слотов, хранение в объектном хранилище, ссылка с ограниченным сроком жизни.</t>
        </is>
      </c>
      <c r="K21" s="9" t="inlineStr">
        <is>
          <t>Генерация PDF (библиотека в ADR не выбрана) + S3 / MinIO.</t>
        </is>
      </c>
      <c r="L21" s="9" t="inlineStr">
        <is>
          <t>Документ, вложенный в диалог, должен быть файлом, а не страницей печати.</t>
        </is>
      </c>
      <c r="M21" s="17" t="n">
        <v>3</v>
      </c>
      <c r="N21" s="17" t="n">
        <v>4</v>
      </c>
      <c r="O21" s="18" t="inlineStr">
        <is>
          <t>Из блока ADR-600: Основная разработка Этапа 2</t>
        </is>
      </c>
      <c r="P21" s="14" t="inlineStr">
        <is>
          <t>Без изменений</t>
        </is>
      </c>
      <c r="Q21" s="15" t="n"/>
      <c r="R21" s="15" t="n"/>
      <c r="S21" s="16" t="n"/>
      <c r="T21" s="16" t="n"/>
      <c r="U21" s="15" t="n"/>
      <c r="V21" s="9" t="inlineStr">
        <is>
          <t>ADR-100; ADR-600</t>
        </is>
      </c>
    </row>
    <row r="22">
      <c r="A22" s="9" t="n">
        <v>20</v>
      </c>
      <c r="B22" s="10" t="inlineStr">
        <is>
          <t>Контейнер</t>
        </is>
      </c>
      <c r="C22" s="11" t="inlineStr">
        <is>
          <t>Оркестрация контейнеров</t>
        </is>
      </c>
      <c r="D22" s="9" t="inlineStr">
        <is>
          <t>Все контейнеры (Backend, LLM Gateway, Qdrant, Redis, Postgres, ETL, GPU-сервисы)</t>
        </is>
      </c>
      <c r="E22" s="9" t="inlineStr">
        <is>
          <t>Прототип — Docker Compose на одной машине; MVP — Kubernetes (nginx Ingress, cert-manager)</t>
        </is>
      </c>
      <c r="F22" s="9" t="inlineStr">
        <is>
          <t>`docker compose` на одной машине: postgres, redis, qdrant, reindex, backend.</t>
        </is>
      </c>
      <c r="G22" s="9" t="inlineStr">
        <is>
          <t>Compose на одном или нескольких хостах не переживает отказ узла и не обновляется без остановки; Docker Swarm слабее по GPU и заданиям, меньше сообщество; Nomad — реальная альтернатива, если некому эксплуатировать Kubernetes (проще, встроенная интеграция с Vault). Сравнение по документации, ни один вариант кроме Compose не разворачивался (ADR-200, «Почему Kubernetes»). Для одного разработчика и одного хоста Kubernetes избыточен.</t>
        </is>
      </c>
      <c r="H22" s="9" t="inlineStr">
        <is>
          <t>ADR-200, раздел «Backend и оркестрация»: строки «Оркестрация контейнеров» и «Оркестрация на прототипе» и подраздел «Почему Kubernetes, а не другая оркестрация»</t>
        </is>
      </c>
      <c r="I22" s="9" t="inlineStr">
        <is>
          <t>Решение заказчика проекта (24.09.2026, документально не подтверждено): личный кабинет уже на Kubernetes, размещаемся в том же кластере, эксплуатирует тот же отдел, GPU-узлов нет. Не известны дистрибутив и версия, квоты, классы хранилищ и быстрые диски, как настроено шифрование Kubernetes Secrets и права на них, есть ли своя наблюдаемость, сетевые правила. Управляющая часть кластера в расчёт узлов не заложена — размещена на узлах общего пула (допущение). Накладные расходы кластера — порядка 1 vCPU и 2 ГиБ на узел (допущение): более половины полезной нагрузки на MVP; в общем кластере владельца управляющая часть и системные поды общие, расчёт узлов — верхняя оценка. Nomad с Vault — план Б, менее вероятный.</t>
        </is>
      </c>
      <c r="J22" s="9" t="inlineStr">
        <is>
          <t>Размещение в существующем кластере владельца, где работает личный кабинет (эксплуатирует тот же отдел; GPU-узлов нет): пространство имён, квоты, сетевые правила, Ingress, классы хранилищ, манифесты для 16 компонентов, секреты (Kubernetes Secret из GitLab CI variables). Расчёт по допущениям (лист «Sizing», базовый вариант без GPU): 6 узлов на MVP (4 общих и 2 данных), 7 на тираже (+1 GPU-узел под собственную модель); в общем кластере это верхняя оценка заказываемых узлов, стоимость серверов не оценена.</t>
        </is>
      </c>
      <c r="K22" s="9" t="inlineStr">
        <is>
          <t>Kubernetes владельца (дистрибутив и версия неизвестны); Ingress и сертификаты — по правилам кластера; манифесты приложения.</t>
        </is>
      </c>
      <c r="L22" s="9" t="inlineStr">
        <is>
          <t>Отказоустойчивость, обновление без остановки, пулы узлов с GPU, задания по расписанию. Нагрузка ради этого не нужна: запросы всех подов (11,2 vCPU, 23,6 ГиБ) помещаются на один сервер.</t>
        </is>
      </c>
      <c r="M22" s="12" t="n">
        <v>6</v>
      </c>
      <c r="N22" s="12" t="n">
        <v>9</v>
      </c>
      <c r="O22" s="13" t="inlineStr">
        <is>
          <t>Оценка автора</t>
        </is>
      </c>
      <c r="P22" s="9" t="inlineStr">
        <is>
          <t>Согласование платформы с владельцем инфраструктуры: решено размещаться в общем кластере с личным кабинетом (эксплуатирует тот же отдел, GPU нет); остаются дистрибутив и версия, квоты, шифрование Secrets и наблюдаемость кластера, отечественное ПО; аргументация записана в ADR-200; при необходимости отдельный ADR.</t>
        </is>
      </c>
      <c r="Q22" s="9" t="inlineStr">
        <is>
          <t>—</t>
        </is>
      </c>
      <c r="R22" s="9" t="inlineStr">
        <is>
          <t>Для тиража нужна согласованная платформа, включая GPU-пулы; выбор Kubernetes пока предварительный.</t>
        </is>
      </c>
      <c r="S22" s="20" t="n">
        <v>2</v>
      </c>
      <c r="T22" s="20" t="n">
        <v>3</v>
      </c>
      <c r="U22" s="21" t="inlineStr">
        <is>
          <t>ADR-600</t>
        </is>
      </c>
      <c r="V22" s="9" t="inlineStr">
        <is>
          <t>ADR-200; ADR-600; C4_Deployment</t>
        </is>
      </c>
    </row>
    <row r="23">
      <c r="A23" s="9" t="n">
        <v>21</v>
      </c>
      <c r="B23" s="10" t="inlineStr">
        <is>
          <t>Контейнер</t>
        </is>
      </c>
      <c r="C23" s="11" t="inlineStr">
        <is>
          <t>Секреты и конфигурация</t>
        </is>
      </c>
      <c r="D23" s="9" t="inlineStr">
        <is>
          <t>Backend; LLM Gateway (ключи провайдеров); все контейнеры (конфигурация)</t>
        </is>
      </c>
      <c r="E23" s="9" t="inlineStr">
        <is>
          <t>Переменные окружения оболочки (передаются через Compose `${VAR}`); Vault dev-режим (необязательный локальный вариант); MVP — GitLab CI variables, Kubernetes Secret</t>
        </is>
      </c>
      <c r="F23" s="9" t="inlineStr">
        <is>
          <t>Переменные окружения оболочки, `.env` приложение не читает; через `docker compose` передаются в контейнер. Vault в dev-режиме — необязательный локальный вариант.</t>
        </is>
      </c>
      <c r="G23" s="9" t="inlineStr">
        <is>
          <t>Целевой механизм (решение заказчика проекта, 24.09.2026): GitLab CI variables (masked, protected) + деплой через pipeline → Kubernetes Secret. Сравнение (ADR-200, «Секреты в проде: GitLab CI variables и альтернативы»; по документации, без проверки на стенде владельца): Vault Agent Injector — есть аудит чтения, аренда и замена без пересборки, но нужна новая система (отказоустойчивость, разблокировка, резервные копии) и sidecar в каждом поде; External Secrets Operator или Vault CSI — то же плюс оператор; SOPS или Sealed Secrets — шифрованные секреты в Git, без аудита чтения; Kubernetes Secret вручную — без повторяемости и журнала. Файл `.env` на диске отклонён: секрет в открытом виде лишний, когда есть переменные окружения.</t>
        </is>
      </c>
      <c r="H23" s="9" t="inlineStr">
        <is>
          <t>ADR-200, раздел «Секреты и конфигурация» и подраздел «Секреты в проде: GitLab CI variables и альтернативы»; ADR-400 («Что добавляется в контуре MVP»)</t>
        </is>
      </c>
      <c r="I23" s="9" t="inlineStr">
        <is>
          <t>Нет аудита чтения; значения видны ролям проекта GitLab с правом их читать (по документации Maintainer и выше); шифрование etcd в кластере неизвестно; замена секрета требует деплоя и перезапуска подов; маскирование в логах ограничено по формату значения. Настройки GitLab владельца, права на переменные и версия не проверялись. Прежний выбор Vault Agent Injector отменён как не обоснованный сравнением.</t>
        </is>
      </c>
      <c r="J23" s="9" t="inlineStr">
        <is>
          <t>Переменные проекта GitLab CI (masked, protected, по окружениям); job деплоя создаёт Kubernetes Secret без вывода значений в лог; подключение в поды через secretKeyRef или envFrom (изменений кода нет); регламент замены секрета; проверка, что значения не попадают в лог pipeline, образ и манифесты.</t>
        </is>
      </c>
      <c r="K23" s="9" t="inlineStr">
        <is>
          <t>GitLab CI/CD variables (masked, protected), pipeline деплоя, Kubernetes Secret; версия и редакция GitLab владельца неизвестны.</t>
        </is>
      </c>
      <c r="L23" s="9" t="inlineStr">
        <is>
          <t>Ничего нового не ставится и не эксплуатируется: GitLab уже используется (со слов); приложение читает переменные окружения, как на прототипе. Vault — вариант по условиям пересмотра: аудит чтения, динамические секреты, замена без перезапуска (ADR-400).</t>
        </is>
      </c>
      <c r="M23" s="12" t="n">
        <v>2</v>
      </c>
      <c r="N23" s="12" t="n">
        <v>3</v>
      </c>
      <c r="O23" s="13" t="inlineStr">
        <is>
          <t>Оценка автора</t>
        </is>
      </c>
      <c r="P23" s="14" t="inlineStr">
        <is>
          <t>Без изменений</t>
        </is>
      </c>
      <c r="Q23" s="15" t="n"/>
      <c r="R23" s="15" t="n"/>
      <c r="S23" s="16" t="n"/>
      <c r="T23" s="16" t="n"/>
      <c r="U23" s="15" t="n"/>
      <c r="V23" s="9" t="inlineStr">
        <is>
          <t>ADR-200; ADR-400</t>
        </is>
      </c>
    </row>
    <row r="24">
      <c r="A24" s="9" t="n">
        <v>22</v>
      </c>
      <c r="B24" s="10" t="inlineStr">
        <is>
          <t>Контейнер</t>
        </is>
      </c>
      <c r="C24" s="11" t="inlineStr">
        <is>
          <t>Наблюдаемость (метрики, логи, алерты)</t>
        </is>
      </c>
      <c r="D24" s="9" t="inlineStr">
        <is>
          <t>Backend и LLM Gateway (метрики); все контейнеры (логи); Grafana и Zabbix — владельца (не наши контейнеры); отдельные контейнеры Prometheus и Loki — верхняя оценка до ответа владельца (MVP)</t>
        </is>
      </c>
      <c r="E24" s="9" t="inlineStr">
        <is>
          <t>prometheus-client (метрики на отдельном порту 9100); MVP — Zabbix и Grafana владельца (Jaeger — по необходимости), дашборды и триггеры как код</t>
        </is>
      </c>
      <c r="F24" s="9" t="inlineStr">
        <is>
          <t>Метрики Prometheus на отдельном порту 9100 (в Compose порт не опубликован: с хоста недоступен, внутри контейнера отдаётся), события потока в панели стенда. Дашбордов, сбора логов, трассировки и алертов нет.</t>
        </is>
      </c>
      <c r="G24" s="9" t="inlineStr">
        <is>
          <t>Факты со слов заказчика проекта (24.09.2026): в реальном контуре работают Grafana, Zabbix и Jaeger; алерты не настроены. Основной вариант C — Zabbix собирает метрики с порта 9100, Grafana владельца показывает, алерты — триггеры Zabbix; запасной B — свой Prometheus как источник для Grafana (если Zabbix не справится с задержкой P99: квантили по гистограммам штатно не считает — по документации, не проверялось). Prometheus владельца снят (не назван), своя четвёрка и ELK/облако отклонены. Прежнее «Zabbix отклонён: ориентирован на хосты» не проверялось. Сравнение по документации.</t>
        </is>
      </c>
      <c r="H24" s="9" t="inlineStr">
        <is>
          <t>ADR-200, раздел «Сравнение вариантов по слоям», подраздел «Наблюдаемость: Grafana владельца и источники данных»</t>
        </is>
      </c>
      <c r="I24" s="9" t="inlineStr">
        <is>
          <t>Алерты не настроены: 9 описанных алертов (в том числе «Утечка ПДн в ответе») принимать некому — нет каналов и получателей; предложение автора: настроенный алерт об утечке ПДн — условие включения MVP (согласовать с ИБ). Не известны версии Zabbix, Grafana, Jaeger, подключение Zabbix к Grafana, возможность считать квантили, сбор логов. Трассировки в нашем коде нет (Jaeger в контуре есть).</t>
        </is>
      </c>
      <c r="J24" s="9" t="inlineStr">
        <is>
          <t>Дашборды как код (JSON, импорт в Grafana владельца): 5 Golden Signals и 8 метрик ИИ; 9 алертов как триггеры и действия Zabbix; сбор метрик с порта 9100; проверка расчёта P99 в Zabbix до начала работ; определение получателей и каналов оповещения; в логах только отчёт об обезличивании. Проверка на стенде владельца до выбора между Zabbix (C) и своим Prometheus (B): сбор с порта 9100, расчёт P99, доставка алерта, плагин Grafana, нагрузка на Zabbix (1–2 чел-дн, предложение автора). Алерты: триггеры Zabbix (при B — Grafana Alerting; Alertmanager не разворачиваем); алерт об утечке ПДн — сразу, без подавления повторов, получатель от ИБ; алерт о недоступности источника метрик. Трассировка: на MVP без Jaeger — две гистограммы (поиск, вызов провайдера) 0,5–1 чел-дн в пределах оценки; OpenTelemetry → Jaeger — только если P99 разобрать не удаётся, 2–4 чел-дн, оценка автора, в итог не входит. Оценка не пересматривалась (5–8): развёртывание своей связки отпало, добавились интеграция с Zabbix и настройка оповещений.</t>
        </is>
      </c>
      <c r="K24" s="9" t="inlineStr">
        <is>
          <t>Zabbix и Grafana владельца; prometheus-client (порт 9100); Jaeger — по необходимости (OpenTelemetry, OTLP); Prometheus и Loki — верхняя оценка до ответа владельца.</t>
        </is>
      </c>
      <c r="L24" s="9" t="inlineStr">
        <is>
          <t>Без этого нельзя измерять задержку ответа (P99), долю отказов и утечки ПДн на реальных абонентах; мониторинг и Grafana уже есть у владельца, дублировать их незачем.</t>
        </is>
      </c>
      <c r="M24" s="12" t="n">
        <v>5</v>
      </c>
      <c r="N24" s="12" t="n">
        <v>8</v>
      </c>
      <c r="O24" s="13" t="inlineStr">
        <is>
          <t>Оценка автора</t>
        </is>
      </c>
      <c r="P24" s="14" t="inlineStr">
        <is>
          <t>Без изменений</t>
        </is>
      </c>
      <c r="Q24" s="15" t="n"/>
      <c r="R24" s="15" t="n"/>
      <c r="S24" s="16" t="n"/>
      <c r="T24" s="16" t="n"/>
      <c r="U24" s="15" t="n"/>
      <c r="V24" s="9" t="inlineStr">
        <is>
          <t>C4_Deployment; ADR-200; ADR-500</t>
        </is>
      </c>
    </row>
    <row r="25">
      <c r="A25" s="9" t="n">
        <v>23</v>
      </c>
      <c r="B25" s="23" t="inlineStr">
        <is>
          <t>Сквозная работа</t>
        </is>
      </c>
      <c r="C25" s="11" t="inlineStr">
        <is>
          <t>Алерты и оповещения</t>
        </is>
      </c>
      <c r="D25" s="9" t="inlineStr">
        <is>
          <t>Zabbix владельца (триггеры, действия); Backend и LLM Gateway (метрики блокировок и утечек); Grafana владельца (запасной вариант)</t>
        </is>
      </c>
      <c r="E25" s="9" t="inlineStr">
        <is>
          <t>Триггеры и действия Zabbix; Grafana Alerting — запасной вариант</t>
        </is>
      </c>
      <c r="F25" s="9" t="inlineStr">
        <is>
          <t>9 алертов описаны (от «Утечка ПДн в ответе» до «ИБ + деградация»), спецификации дашборда в репозитории нет. В реальном контуре алерты не настроены (со слов заказчика проекта, 24.09.2026): каналов оповещения и получателей нет. В нашем коде есть метрики блокировок и утечек, правил и доставки нет.</t>
        </is>
      </c>
      <c r="G25" s="9" t="inlineStr">
        <is>
          <t>Триггеры и действия Zabbix (выбраны при основном варианте C) — против Grafana Alerting (при запасном варианте B, если в Zabbix настроить нельзя) и Alertmanager (не разворачиваем: дублирует Zabbix и Grafana владельца). Сравнение по документации, у владельца не проверялось; каналы оповещения не настроены.</t>
        </is>
      </c>
      <c r="H25" s="9" t="inlineStr">
        <is>
          <t>ADR-200, подраздел «Наблюдаемость: Grafana владельца и источники данных», блок «Алерты: сравнение вариантов»</t>
        </is>
      </c>
      <c r="I25" s="9" t="inlineStr">
        <is>
          <t>Получатели, канал, регламент реакции и эскалация не определены; без них алерты «Утечка ПДн в ответе» и «ИБ + деградация» на MVP не сработают. Версия Zabbix и его возможности по оповещениям неизвестны. Настроены ли алерты в Zabbix вообще или только для нашего сервиса — неизвестно.</t>
        </is>
      </c>
      <c r="J25" s="9" t="inlineStr">
        <is>
          <t>9 алертов как триггеры и действия Zabbix (при запасном варианте B — правила Grafana Alerting); требования к любому варианту: алерт об утечке ПДн приходит сразу и без подавления повторов получателю от ИБ; алерт о недоступности источника метрик; получатели, канал, регламент и эскалация определены до включения MVP (предложение автора, согласовать с ИБ); пороги срабатывания — по замеру на живых данных.</t>
        </is>
      </c>
      <c r="K25" s="9" t="inlineStr">
        <is>
          <t>Zabbix владельца (триггеры, действия, каналы); Grafana Alerting — запасной вариант.</t>
        </is>
      </c>
      <c r="L25" s="9" t="inlineStr">
        <is>
          <t>Без алерта об утечке ПДн нарушение 152-ФЗ обнаружится не сразу; оценка входит в строку «Наблюдаемость (метрики, логи, алерты)», отдельно не считается.</t>
        </is>
      </c>
      <c r="M25" s="19" t="n"/>
      <c r="N25" s="19" t="n"/>
      <c r="O25" s="9" t="n"/>
      <c r="P25" s="14" t="inlineStr">
        <is>
          <t>Без изменений</t>
        </is>
      </c>
      <c r="Q25" s="15" t="n"/>
      <c r="R25" s="15" t="n"/>
      <c r="S25" s="16" t="n"/>
      <c r="T25" s="16" t="n"/>
      <c r="U25" s="15" t="n"/>
      <c r="V25" s="9" t="inlineStr">
        <is>
          <t>ADR-200; ADR-400</t>
        </is>
      </c>
    </row>
    <row r="26">
      <c r="A26" s="9" t="n">
        <v>24</v>
      </c>
      <c r="B26" s="23" t="inlineStr">
        <is>
          <t>Сквозная работа</t>
        </is>
      </c>
      <c r="C26" s="11" t="inlineStr">
        <is>
          <t>Трассировка (Jaeger)</t>
        </is>
      </c>
      <c r="D26" s="9" t="inlineStr">
        <is>
          <t>Backend; LLM Gateway; клиенты Qdrant, Postgres, Redis; Jaeger владельца</t>
        </is>
      </c>
      <c r="E26" s="9" t="inlineStr">
        <is>
          <t>OpenTelemetry (Python), OTLP, Jaeger владельца — по условию</t>
        </is>
      </c>
      <c r="F26" s="9" t="inlineStr">
        <is>
          <t>Jaeger в реальном контуре есть (со слов заказчика проекта, 24.09.2026). В нашем коде трассировки нет (библиотек OpenTelemetry и Jaeger в проекте нет). Гистограммы задержки есть для ответа, первого куска, проверки ответа и обезличивания; для поиска в базе знаний и вызова провайдера — нет.</t>
        </is>
      </c>
      <c r="G26" s="9" t="inlineStr">
        <is>
          <t>Вариант 1 — без трассировки, метрики по стадиям (по умолчанию для MVP) — против варианта 2 — OpenTelemetry → Jaeger владельца (по условию: P99 по метрикам разобрать не удаётся) и варианта 3 — свой Jaeger (отклонён: в контуре он есть). Сравнение по документации; приём OTLP в Jaeger владельца не проверялся.</t>
        </is>
      </c>
      <c r="H26" s="9" t="inlineStr">
        <is>
          <t>ADR-200, подраздел «Наблюдаемость: Grafana владельца и источники данных», блок «Трассировка (Jaeger): сравнение вариантов»; ADR-600, «Трассировка OpenTelemetry → Jaeger — по необходимости»</t>
        </is>
      </c>
      <c r="I26" s="9" t="inlineStr">
        <is>
          <t>Без гистограмм поиска и вызова провайдера задержку P99 по стадиям не разобрать. Принимает ли Jaeger владельца OTLP, версия и права — неизвестно. Трассы не должны содержать ПДн в атрибутах спанов.</t>
        </is>
      </c>
      <c r="J26" s="9" t="inlineStr">
        <is>
          <t>На MVP без трассировки: две гистограммы (поиск в базе знаний, вызов провайдера) — 0,5–1 чел-дн внутри оценки строки «Наблюдаемость» (оценка автора). Инструментация OpenTelemetry (FastAPI, HTTP-клиенты, клиенты Qdrant, Postgres, Redis) с отправкой по OTLP в Jaeger владельца — только если после гистограмм P99 разобрать не удаётся: 2–4 чел-дн, оценка автора, в итог не входит.</t>
        </is>
      </c>
      <c r="K26" s="9" t="inlineStr">
        <is>
          <t>OpenTelemetry (Python), OTLP, Jaeger владельца — по условию.</t>
        </is>
      </c>
      <c r="L26" s="9" t="inlineStr">
        <is>
          <t>Трассировка полезна для разбора P99 и TTFT по стадиям, но на четырёх стадиях линейной цепочки метрик обычно хватает; не тратим работу без необходимости.</t>
        </is>
      </c>
      <c r="M26" s="12" t="n">
        <v>2</v>
      </c>
      <c r="N26" s="12" t="n">
        <v>4</v>
      </c>
      <c r="O26" s="13" t="inlineStr">
        <is>
          <t>По триггеру (P99 по метрикам разобрать не удаётся; оценка автора)</t>
        </is>
      </c>
      <c r="P26" s="14" t="inlineStr">
        <is>
          <t>Без изменений</t>
        </is>
      </c>
      <c r="Q26" s="15" t="n"/>
      <c r="R26" s="15" t="n"/>
      <c r="S26" s="16" t="n"/>
      <c r="T26" s="16" t="n"/>
      <c r="U26" s="15" t="n"/>
      <c r="V26" s="9" t="inlineStr">
        <is>
          <t>ADR-200; ADR-600</t>
        </is>
      </c>
    </row>
    <row r="27">
      <c r="A27" s="9" t="n">
        <v>25</v>
      </c>
      <c r="B27" s="24" t="inlineStr">
        <is>
          <t>Связь</t>
        </is>
      </c>
      <c r="C27" s="11" t="inlineStr">
        <is>
          <t>Виджет ↔ Backend</t>
        </is>
      </c>
      <c r="D27" s="9" t="inlineStr">
        <is>
          <t>AI-виджет; Backend</t>
        </is>
      </c>
      <c r="E27" s="9" t="inlineStr">
        <is>
          <t>HTTP/JSON; поток SSE (`text/event-stream`); контракт OpenAPI 3</t>
        </is>
      </c>
      <c r="F27" s="9" t="inlineStr">
        <is>
          <t>HTTP + поток SSE; контракт описан в OpenAPI (`API_Spec.yaml`), идентификатор абонента — в метаданных запроса.</t>
        </is>
      </c>
      <c r="G27" s="9" t="inlineStr">
        <is>
          <t>SSE выбран против WebSocket и периодического опроса: данные идут только от сервера, обычный HTTP проходит через Ingress, формат текстовый. Особенность: EventSource умеет только GET, поэтому виджет читает поток через fetch (POST).</t>
        </is>
      </c>
      <c r="H27" s="9" t="inlineStr">
        <is>
          <t>ADR-200, раздел «Сравнение вариантов по слоям», подраздел «Протокол потока ответа: SSE»</t>
        </is>
      </c>
      <c r="I27" s="9" t="inlineStr">
        <is>
          <t>Идентификатор абонента передаёт сам клиент — для стенда допустимо, для продакшена нет.</t>
        </is>
      </c>
      <c r="J27" s="14" t="inlineStr">
        <is>
          <t>Без изменений</t>
        </is>
      </c>
      <c r="K27" s="15" t="n"/>
      <c r="L27" s="15" t="inlineStr">
        <is>
          <t>Протокол тот же; токен SSO — в строке про связь с ЛК.</t>
        </is>
      </c>
      <c r="M27" s="16" t="n"/>
      <c r="N27" s="16" t="n"/>
      <c r="O27" s="15" t="n"/>
      <c r="P27" s="14" t="inlineStr">
        <is>
          <t>Без изменений</t>
        </is>
      </c>
      <c r="Q27" s="15" t="n"/>
      <c r="R27" s="15" t="n"/>
      <c r="S27" s="16" t="n"/>
      <c r="T27" s="16" t="n"/>
      <c r="U27" s="15" t="n"/>
      <c r="V27" s="9" t="inlineStr">
        <is>
          <t>API_Spec.yaml</t>
        </is>
      </c>
    </row>
    <row r="28">
      <c r="A28" s="9" t="n">
        <v>26</v>
      </c>
      <c r="B28" s="24" t="inlineStr">
        <is>
          <t>Связь</t>
        </is>
      </c>
      <c r="C28" s="11" t="inlineStr">
        <is>
          <t>Backend ↔ Платформа ЛК (SSO)</t>
        </is>
      </c>
      <c r="D28" s="9" t="inlineStr">
        <is>
          <t>Backend; Платформа ЛК (внешняя)</t>
        </is>
      </c>
      <c r="E28" s="9" t="inlineStr">
        <is>
          <t>SSO личного кабинета (протокол не выбран); на прототипе — идентификатор в метаданных запроса</t>
        </is>
      </c>
      <c r="F28" s="9" t="inlineStr">
        <is>
          <t>Не подключена: абонент выбирается из справочника стенда.</t>
        </is>
      </c>
      <c r="G28" s="9" t="inlineStr">
        <is>
          <t>Сравнение не проводилось: интеграция с ЛК не начата, протокол SSO ещё не известен.</t>
        </is>
      </c>
      <c r="H28" s="9" t="inlineStr">
        <is>
          <t>ADR-400, раздел «Сравнение вариантов по слоям безопасности», подраздел «Как выбран способ доступа к внешним системам» (протокол SSO не выбран)</t>
        </is>
      </c>
      <c r="I28" s="9" t="inlineStr">
        <is>
          <t>Настоящей SSO-сессии нет; Auth &amp; Session Middleware — целевой компонент.</t>
        </is>
      </c>
      <c r="J28" s="9" t="inlineStr">
        <is>
          <t>Профиль и сессия абонента берутся из личного кабинета при открытии диалога.</t>
        </is>
      </c>
      <c r="K28" s="9" t="inlineStr">
        <is>
          <t>SSO Платформы ЛК, Auth &amp; Session Middleware в Backend.</t>
        </is>
      </c>
      <c r="L28" s="9" t="inlineStr">
        <is>
          <t>Идентификатор абонента должен приходить от доверенной системы, а не от клиента.</t>
        </is>
      </c>
      <c r="M28" s="17" t="n">
        <v>3</v>
      </c>
      <c r="N28" s="17" t="n">
        <v>5</v>
      </c>
      <c r="O28" s="18" t="inlineStr">
        <is>
          <t>Из блока ADR-600: Основная разработка Этапа 2</t>
        </is>
      </c>
      <c r="P28" s="14" t="inlineStr">
        <is>
          <t>Без изменений</t>
        </is>
      </c>
      <c r="Q28" s="15" t="n"/>
      <c r="R28" s="15" t="n"/>
      <c r="S28" s="16" t="n"/>
      <c r="T28" s="16" t="n"/>
      <c r="U28" s="15" t="n"/>
      <c r="V28" s="9" t="inlineStr">
        <is>
          <t>ADR-400; ADR-600</t>
        </is>
      </c>
    </row>
    <row r="29">
      <c r="A29" s="9" t="n">
        <v>27</v>
      </c>
      <c r="B29" s="24" t="inlineStr">
        <is>
          <t>Связь</t>
        </is>
      </c>
      <c r="C29" s="11" t="inlineStr">
        <is>
          <t>Backend ↔ Биллинг (чтение фактов)</t>
        </is>
      </c>
      <c r="D29" s="9" t="inlineStr">
        <is>
          <t>Backend; Биллинг (внешняя)</t>
        </is>
      </c>
      <c r="E29" s="9" t="inlineStr">
        <is>
          <t>XML-RPC API Биллинга; на прототипе — слепок в PostgreSQL</t>
        </is>
      </c>
      <c r="F29" s="9" t="inlineStr">
        <is>
          <t>Чтение из слепка Биллинга в Postgres; для лицевого счёта: долг, начисления, показания, поверка.</t>
        </is>
      </c>
      <c r="G29" s="9" t="inlineStr">
        <is>
          <t>Прямое чтение чужой БД запрещено: только через API владельца.</t>
        </is>
      </c>
      <c r="H29" s="9" t="inlineStr">
        <is>
          <t>ADR-400, раздел «Сравнение вариантов по слоям безопасности», подраздел «Как выбран способ доступа к внешним системам»</t>
        </is>
      </c>
      <c r="I29" s="9" t="inlineStr">
        <is>
          <t>Сигнатуры API Биллинга от владельца не получены.</t>
        </is>
      </c>
      <c r="J29" s="9" t="inlineStr">
        <is>
          <t>Данные абонента запрашиваются у Биллинга в момент вопроса (предрасчёта нет, решение 25.09.2026).</t>
        </is>
      </c>
      <c r="K29" s="9" t="inlineStr">
        <is>
          <t>XML-RPC API Биллинга.</t>
        </is>
      </c>
      <c r="L29" s="9" t="inlineStr">
        <is>
          <t>Единственный способ доступа к Биллингу; данные нужны онлайн, а не с отставанием предрасчёта.</t>
        </is>
      </c>
      <c r="M29" s="20" t="n">
        <v>1</v>
      </c>
      <c r="N29" s="20" t="n">
        <v>2</v>
      </c>
      <c r="O29" s="21" t="inlineStr">
        <is>
          <t>ADR-600</t>
        </is>
      </c>
      <c r="P29" s="14" t="inlineStr">
        <is>
          <t>Без изменений</t>
        </is>
      </c>
      <c r="Q29" s="15" t="n"/>
      <c r="R29" s="15" t="n"/>
      <c r="S29" s="16" t="n"/>
      <c r="T29" s="16" t="n"/>
      <c r="U29" s="15" t="n"/>
      <c r="V29" s="9" t="inlineStr">
        <is>
          <t>ADR-400; ADR-600</t>
        </is>
      </c>
    </row>
    <row r="30">
      <c r="A30" s="9" t="n">
        <v>28</v>
      </c>
      <c r="B30" s="24" t="inlineStr">
        <is>
          <t>Связь</t>
        </is>
      </c>
      <c r="C30" s="11" t="inlineStr">
        <is>
          <t>Backend ↔ Диспетчерская</t>
        </is>
      </c>
      <c r="D30" s="9" t="inlineStr">
        <is>
          <t>Backend; Сервис работы с обращениями; Диспетчерская (внешняя)</t>
        </is>
      </c>
      <c r="E30" s="9" t="inlineStr">
        <is>
          <t>REST API Диспетчерской; на прототипе — локальные данные графика отключений</t>
        </is>
      </c>
      <c r="F30" s="9" t="inlineStr">
        <is>
          <t>Данные графика плановых отключений (1939 записей) читаются локально; запись аварийной заявки — заглушка.</t>
        </is>
      </c>
      <c r="G30" s="9" t="inlineStr">
        <is>
          <t>Прямой доступ к чужой БД запрещён.</t>
        </is>
      </c>
      <c r="H30" s="9" t="inlineStr">
        <is>
          <t>ADR-400, раздел «Сравнение вариантов по слоям безопасности», подраздел «Как выбран способ доступа к внешним системам»</t>
        </is>
      </c>
      <c r="I30" s="9" t="inlineStr">
        <is>
          <t>Сигнатуры REST API Диспетчерской от владельца не получены.</t>
        </is>
      </c>
      <c r="J30" s="9" t="inlineStr">
        <is>
          <t>Чтение статуса аварийной заявки и зоны по API; запись аварийной заявки после подтверждения абонента.</t>
        </is>
      </c>
      <c r="K30" s="9" t="inlineStr">
        <is>
          <t>REST API Диспетчерской.</t>
        </is>
      </c>
      <c r="L30" s="9" t="inlineStr">
        <is>
          <t>Единственный разрешённый путь; аварии должны попадать сразу в диспетчерскую.</t>
        </is>
      </c>
      <c r="M30" s="20" t="n">
        <v>1</v>
      </c>
      <c r="N30" s="20" t="n">
        <v>2</v>
      </c>
      <c r="O30" s="21" t="inlineStr">
        <is>
          <t>ADR-600</t>
        </is>
      </c>
      <c r="P30" s="14" t="inlineStr">
        <is>
          <t>Без изменений</t>
        </is>
      </c>
      <c r="Q30" s="15" t="n"/>
      <c r="R30" s="15" t="n"/>
      <c r="S30" s="16" t="n"/>
      <c r="T30" s="16" t="n"/>
      <c r="U30" s="15" t="n"/>
      <c r="V30" s="9" t="inlineStr">
        <is>
          <t>ADR-100; ADR-400; ADR-600</t>
        </is>
      </c>
    </row>
    <row r="31">
      <c r="A31" s="9" t="n">
        <v>29</v>
      </c>
      <c r="B31" s="24" t="inlineStr">
        <is>
          <t>Связь</t>
        </is>
      </c>
      <c r="C31" s="11" t="inlineStr">
        <is>
          <t>Backend ↔ LLM Gateway</t>
        </is>
      </c>
      <c r="D31" s="9" t="inlineStr">
        <is>
          <t>Backend; LLM Gateway</t>
        </is>
      </c>
      <c r="E31" s="9" t="inlineStr">
        <is>
          <t>Вызов функции Python в одном процессе; на MVP — HTTP, OpenAI-совместимый протокол</t>
        </is>
      </c>
      <c r="F31" s="9" t="inlineStr">
        <is>
          <t>Вызов внутри одного процесса.</t>
        </is>
      </c>
      <c r="G31" s="9" t="inlineStr">
        <is>
          <t>Вынос шлюза в отдельный контейнер — следствие целевой схемы развёртывания (C4_Deployment.html); формат конфигурации LiteLLM совместим с прокси, поэтому вынос не требует переписывания.</t>
        </is>
      </c>
      <c r="H31" s="9" t="inlineStr">
        <is>
          <t>ADR-200, раздел «LLM-хостинг», подраздел «Как устроен шлюз к модели»</t>
        </is>
      </c>
      <c r="I31" s="9" t="inlineStr">
        <is>
          <t>—</t>
        </is>
      </c>
      <c r="J31" s="9" t="inlineStr">
        <is>
          <t>Вызов по сети между контейнерами; OpenAI-совместимый протокол.</t>
        </is>
      </c>
      <c r="K31" s="9" t="inlineStr">
        <is>
          <t>HTTP внутри кластера.</t>
        </is>
      </c>
      <c r="L31" s="9" t="inlineStr">
        <is>
          <t>Следствие выноса шлюза в отдельный контейнер (см. строку LLM Gateway).</t>
        </is>
      </c>
      <c r="M31" s="19" t="n"/>
      <c r="N31" s="19" t="n"/>
      <c r="O31" s="9" t="n"/>
      <c r="P31" s="14" t="inlineStr">
        <is>
          <t>Без изменений</t>
        </is>
      </c>
      <c r="Q31" s="15" t="n"/>
      <c r="R31" s="15" t="n"/>
      <c r="S31" s="16" t="n"/>
      <c r="T31" s="16" t="n"/>
      <c r="U31" s="15" t="n"/>
      <c r="V31" s="9" t="inlineStr">
        <is>
          <t>ADR-200</t>
        </is>
      </c>
    </row>
    <row r="32">
      <c r="A32" s="9" t="n">
        <v>30</v>
      </c>
      <c r="B32" s="24" t="inlineStr">
        <is>
          <t>Связь</t>
        </is>
      </c>
      <c r="C32" s="11" t="inlineStr">
        <is>
          <t>Backend ↔ Qdrant</t>
        </is>
      </c>
      <c r="D32" s="9" t="inlineStr">
        <is>
          <t>Backend; Qdrant</t>
        </is>
      </c>
      <c r="E32" s="9" t="inlineStr">
        <is>
          <t>qdrant-client по HTTP (порт 6333)</t>
        </is>
      </c>
      <c r="F32" s="9" t="inlineStr">
        <is>
          <t>gRPC (порт 6334) по умолчанию с 24.09.2026, REST (порт 6333) — переключатель QDRANT_PREFER_GRPC=false; запись — отдельным сервисом, Backend только читает готовый индекс. Без TLS и без ключа API. Лимит выдачи: до 300 точек — все точки, выше — top_k × 10.</t>
        </is>
      </c>
      <c r="G32" s="9" t="inlineStr">
        <is>
          <t>Клиент по gRPC (с 24.09.2026), а не по REST: замер — gRPC стабильно 6–13 мс, REST через qdrant-client от 6 до 60 мс (топ-20 с payload: 60 мс); прежний довод «HTTP — единицы миллисекунд» не подтвердился. На прототипе (190 точек) REST быстрее (13 против 26 мс). Один хост, Windows; повторить в кластере.</t>
        </is>
      </c>
      <c r="H32" s="9" t="inlineStr">
        <is>
          <t>ADR-200, раздел «Сравнение вариантов по слоям», подраздел «Почему Qdrant, а не другая векторная база» (клиент по HTTP, а не gRPC)</t>
        </is>
      </c>
      <c r="I32" s="9" t="inlineStr">
        <is>
          <t>Разброс REST не объяснён. Граница точного перебора (300 точек) и PARTS_HEADROOM (10) выбраны по синтетическому замеру (ADR-200, «Значения допущений хранилища»); на реальном корпусе не проверялись. Трафик внутри кластера без TLS и без ключа — решение за ИБ. Замер сделан не на платформе кластера владельца.</t>
        </is>
      </c>
      <c r="J32" s="9" t="inlineStr">
        <is>
          <t>gRPC-клиент (сделан на прототипе, 0,5–1 чел-дн, оценка автора); ограниченный лимит выдачи; повторить замер REST и gRPC в кластере владельца, перепроверить PARTS_HEADROOM и границу точного перебора на реальном корпусе, проверить порт 6334 и NetworkPolicy — в пределах теста моделей эмбеддингов.</t>
        </is>
      </c>
      <c r="K32" s="9" t="inlineStr">
        <is>
          <t>qdrant-client по gRPC (prefer_grpc, порт 6334).</t>
        </is>
      </c>
      <c r="L32" s="9" t="inlineStr">
        <is>
          <t>Стабильные 6–13 мс вместо разброса 6–60 мс; на объёме MVP P99 вдвое ниже (топ-100 с payload: 19,5 против 40,1 мс).</t>
        </is>
      </c>
      <c r="M32" s="19" t="n"/>
      <c r="N32" s="19" t="n"/>
      <c r="O32" s="9" t="n"/>
      <c r="P32" s="14" t="inlineStr">
        <is>
          <t>Без изменений</t>
        </is>
      </c>
      <c r="Q32" s="15" t="n"/>
      <c r="R32" s="15" t="n"/>
      <c r="S32" s="16" t="n"/>
      <c r="T32" s="16" t="n"/>
      <c r="U32" s="15" t="n"/>
      <c r="V32" s="9" t="inlineStr">
        <is>
          <t>ADR-200; ADR-400; ADR-600</t>
        </is>
      </c>
    </row>
    <row r="33">
      <c r="A33" s="9" t="n">
        <v>31</v>
      </c>
      <c r="B33" s="24" t="inlineStr">
        <is>
          <t>Связь</t>
        </is>
      </c>
      <c r="C33" s="11" t="inlineStr">
        <is>
          <t>LLM Gateway ↔ LLM Provider</t>
        </is>
      </c>
      <c r="D33" s="9" t="inlineStr">
        <is>
          <t>LLM Gateway; внешний LLM Provider</t>
        </is>
      </c>
      <c r="E33" s="9" t="inlineStr">
        <is>
          <t>HTTPS с проверкой сертификата; LiteLLM (OpenAI-совместимый интерфейс)</t>
        </is>
      </c>
      <c r="F33" s="9" t="inlineStr">
        <is>
          <t>HTTPS с проверкой сертификата: YandexGPT (сертификаты доступны). Проверка TLS не отключается никогда.</t>
        </is>
      </c>
      <c r="G33" s="9" t="inlineStr">
        <is>
          <t>Отключить проверку сертификата ради GigaChat отклонено — по каналу идут данные абонента; вместо этого переключаемся на другого провайдера.</t>
        </is>
      </c>
      <c r="H33" s="9" t="inlineStr">
        <is>
          <t>ADR-400, раздел «Закрыто сейчас» (TLS не отключается); ADR-300, раздел 4</t>
        </is>
      </c>
      <c r="I33" s="9" t="inlineStr">
        <is>
          <t>Для GigaChat нужны корневые сертификаты НУЦ Минцифры — на машине прототипа их нет.</t>
        </is>
      </c>
      <c r="J33" s="9" t="inlineStr">
        <is>
          <t>Канал к GigaChat с корневыми сертификатами НУЦ в образе шлюза; автопереключение на резерв.</t>
        </is>
      </c>
      <c r="K33" s="9" t="inlineStr">
        <is>
          <t>HTTPS, сертификаты НУЦ Минцифры.</t>
        </is>
      </c>
      <c r="L33" s="9" t="inlineStr">
        <is>
          <t>Основной провайдер MVP — GigaChat Pro (входит в работу по строке LLM Provider).</t>
        </is>
      </c>
      <c r="M33" s="19" t="n"/>
      <c r="N33" s="19" t="n"/>
      <c r="O33" s="9" t="n"/>
      <c r="P33" s="9" t="inlineStr">
        <is>
          <t>Вызов собственной модели внутри закрытого контура.</t>
        </is>
      </c>
      <c r="Q33" s="9" t="inlineStr">
        <is>
          <t>OpenAI-совместимый интерфейс vLLM внутри сети водоканала.</t>
        </is>
      </c>
      <c r="R33" s="9" t="inlineStr">
        <is>
          <t>Данные не покидают периметр вообще, а не только территорию РФ.</t>
        </is>
      </c>
      <c r="S33" s="19" t="n"/>
      <c r="T33" s="19" t="n"/>
      <c r="U33" s="9" t="n"/>
      <c r="V33" s="9" t="inlineStr">
        <is>
          <t>ADR-400; ADR-300</t>
        </is>
      </c>
    </row>
    <row r="34">
      <c r="A34" s="9" t="n">
        <v>32</v>
      </c>
      <c r="B34" s="24" t="inlineStr">
        <is>
          <t>Связь</t>
        </is>
      </c>
      <c r="C34" s="11" t="inlineStr">
        <is>
          <t>Индексация → Qdrant</t>
        </is>
      </c>
      <c r="D34" s="9" t="inlineStr">
        <is>
          <t>ETL индексации; Qdrant</t>
        </is>
      </c>
      <c r="E34" s="9" t="inlineStr">
        <is>
          <t>qdrant-client: upsert в новую коллекцию + переключение алиаса (blue-green)</t>
        </is>
      </c>
      <c r="F34" s="9" t="inlineStr">
        <is>
          <t>Запись в новую физическую коллекцию и атомарное переключение алиаса (blue-green); удалённые документы уходят при полной пересборке.</t>
        </is>
      </c>
      <c r="G34" s="9" t="inlineStr">
        <is>
          <t>Blue-green против обновления на месте: обновление на месте оставляет интервалы с неполным индексом; цена blue-green — двойное хранение на время сборки.</t>
        </is>
      </c>
      <c r="H34" s="9" t="inlineStr">
        <is>
          <t>ADR-200, раздел «Сравнение вариантов по слоям», подраздел «Почему Qdrant, а не другая векторная база» (blue-green, а не обновление на месте)</t>
        </is>
      </c>
      <c r="I34" s="9" t="inlineStr">
        <is>
          <t>—</t>
        </is>
      </c>
      <c r="J34" s="14" t="inlineStr">
        <is>
          <t>Без изменений</t>
        </is>
      </c>
      <c r="K34" s="15" t="n"/>
      <c r="L34" s="15" t="inlineStr">
        <is>
          <t>Механизм переносится как есть; окно 02:00–05:00 описано в строке про индексацию.</t>
        </is>
      </c>
      <c r="M34" s="16" t="n"/>
      <c r="N34" s="16" t="n"/>
      <c r="O34" s="15" t="n"/>
      <c r="P34" s="14" t="inlineStr">
        <is>
          <t>Без изменений</t>
        </is>
      </c>
      <c r="Q34" s="15" t="n"/>
      <c r="R34" s="15" t="n"/>
      <c r="S34" s="16" t="n"/>
      <c r="T34" s="16" t="n"/>
      <c r="U34" s="15" t="n"/>
      <c r="V34" s="9" t="inlineStr">
        <is>
          <t>ADR-200</t>
        </is>
      </c>
    </row>
    <row r="35">
      <c r="A35" s="9" t="n">
        <v>33</v>
      </c>
      <c r="B35" s="23" t="inlineStr">
        <is>
          <t>Сквозная работа</t>
        </is>
      </c>
      <c r="C35" s="11" t="inlineStr">
        <is>
          <t>Смета CAPEX/OPEX, NFR, допущения о нагрузке</t>
        </is>
      </c>
      <c r="D35" s="9" t="inlineStr">
        <is>
          <t>Все (сквозная работа); GPU-пул и кластер — как предмет сметы</t>
        </is>
      </c>
      <c r="E35" s="9" t="inlineStr">
        <is>
          <t>Расчётные таблицы (Capacity_Report.html), формулы sizing</t>
        </is>
      </c>
      <c r="F35" s="9" t="inlineStr">
        <is>
          <t>Есть прогнозная модель с минимальным и максимальным сценарием (`Capacity_Report.html`, лист «Прогноз стоимости»): токены на MVP 1 234–101 280 ₽ в месяц, на тираже 3 305 ₽–1,07 млн ₽; цен на серверы и GPU нет. Это не смета: числа не утверждены владельцем (открытый P0).</t>
        </is>
      </c>
      <c r="G35" s="9" t="inlineStr">
        <is>
          <t>Не применимо: это работа, а не выбор технологии.</t>
        </is>
      </c>
      <c r="H35" s="9" t="inlineStr">
        <is>
          <t>Не применимо: это работа, а не выбор технологии; расчёт — Capacity_Report.html, стоимость — ADR-500</t>
        </is>
      </c>
      <c r="I35" s="9" t="inlineStr">
        <is>
          <t>Разброс стоимости токенов на MVP — ×82 между минимумом и максимумом; без статистики ЛК, колл-центра и живых обращений смета остаётся диапазоном.</t>
        </is>
      </c>
      <c r="J35" s="9" t="inlineStr">
        <is>
          <t>Смета по ценам поставщика, расчёт NFR под конкретную GPU-конфигурацию, подтверждение допущений статистикой. Первый пересчёт сметы по данным обращений и ЛК (3–5 чел-дн, после получения данных) и повторный по пилоту (1–2 чел-дн): подставить данные в лист «Прогноз стоимости», пересчитать нагрузку, стоимость и sizing, обновить отчёт о мощности, ADR-500 и матрицу.</t>
        </is>
      </c>
      <c r="K35" s="9" t="inlineStr">
        <is>
          <t>—</t>
        </is>
      </c>
      <c r="L35" s="9" t="inlineStr">
        <is>
          <t>Без этого нельзя защищать бюджет.</t>
        </is>
      </c>
      <c r="M35" s="25" t="n">
        <v>11.5</v>
      </c>
      <c r="N35" s="17" t="n">
        <v>17</v>
      </c>
      <c r="O35" s="18" t="inlineStr">
        <is>
          <t>Из блока ADR-600: P0</t>
        </is>
      </c>
      <c r="P35" s="14" t="inlineStr">
        <is>
          <t>Без изменений</t>
        </is>
      </c>
      <c r="Q35" s="15" t="n"/>
      <c r="R35" s="15" t="inlineStr">
        <is>
          <t>Пересчёт NFR под 90 000 абонентов уже сделан.</t>
        </is>
      </c>
      <c r="S35" s="16" t="n"/>
      <c r="T35" s="16" t="n"/>
      <c r="U35" s="15" t="n"/>
      <c r="V35" s="9" t="inlineStr">
        <is>
          <t>ADR-500; ADR-600</t>
        </is>
      </c>
    </row>
    <row r="36">
      <c r="A36" s="9" t="n">
        <v>34</v>
      </c>
      <c r="B36" s="23" t="inlineStr">
        <is>
          <t>Сквозная работа</t>
        </is>
      </c>
      <c r="C36" s="11" t="inlineStr">
        <is>
          <t>Внедрение ответов владельцев данных</t>
        </is>
      </c>
      <c r="D36" s="9" t="inlineStr">
        <is>
          <t>Backend (Triage, ответчики); Document Generator; Сервис работы с обращениями</t>
        </is>
      </c>
      <c r="E36" s="9" t="inlineStr">
        <is>
          <t>Справочники и тексты в коде и данных; не технология</t>
        </is>
      </c>
      <c r="F36" s="9" t="inlineStr">
        <is>
          <t>Пункты, ждущие ответа водоканала: коды типов обращений, текст о качестве воды, четыре процесса вне справочника, настоящие бланки.</t>
        </is>
      </c>
      <c r="G36" s="9" t="inlineStr">
        <is>
          <t>Не применимо: это работа, а не выбор технологии.</t>
        </is>
      </c>
      <c r="H36" s="9" t="inlineStr">
        <is>
          <t>Не применимо: это работа, а не выбор технологии; перечень пунктов — ADR-600, раздел «Ждут ответа владельцев систем»</t>
        </is>
      </c>
      <c r="I36" s="9" t="inlineStr">
        <is>
          <t>Календарный срок определяет владелец, не команда.</t>
        </is>
      </c>
      <c r="J36" s="9" t="inlineStr">
        <is>
          <t>Внедрение полученных ответов в справочники и тексты.</t>
        </is>
      </c>
      <c r="K36" s="9" t="inlineStr">
        <is>
          <t>—</t>
        </is>
      </c>
      <c r="L36" s="9" t="inlineStr">
        <is>
          <t>Разработки не требуют — требуют ответа от водоканала.</t>
        </is>
      </c>
      <c r="M36" s="17" t="n">
        <v>4</v>
      </c>
      <c r="N36" s="17" t="n">
        <v>8</v>
      </c>
      <c r="O36" s="18" t="inlineStr">
        <is>
          <t>Из блока ADR-600: Согласования</t>
        </is>
      </c>
      <c r="P36" s="14" t="inlineStr">
        <is>
          <t>Без изменений</t>
        </is>
      </c>
      <c r="Q36" s="15" t="n"/>
      <c r="R36" s="15" t="n"/>
      <c r="S36" s="16" t="n"/>
      <c r="T36" s="16" t="n"/>
      <c r="U36" s="15" t="n"/>
      <c r="V36" s="9" t="inlineStr">
        <is>
          <t>ADR-600</t>
        </is>
      </c>
    </row>
    <row r="37">
      <c r="A37" s="9" t="n">
        <v>35</v>
      </c>
      <c r="B37" s="23" t="inlineStr">
        <is>
          <t>Сквозная работа</t>
        </is>
      </c>
      <c r="C37" s="11" t="inlineStr">
        <is>
          <t>Документация и согласование ИБ</t>
        </is>
      </c>
      <c r="D37" s="9" t="inlineStr">
        <is>
          <t>Все (сквозная работа)</t>
        </is>
      </c>
      <c r="E37" s="9" t="inlineStr">
        <is>
          <t>Документы и диаграммы пакета сдачи</t>
        </is>
      </c>
      <c r="F37" s="9" t="inlineStr">
        <is>
          <t>Сверка диаграммы Backend с кодом сделана частично; согласования с ИБ по триггерам self-hosted-перехода не было.</t>
        </is>
      </c>
      <c r="G37" s="9" t="inlineStr">
        <is>
          <t>Не применимо: это работа, а не выбор технологии.</t>
        </is>
      </c>
      <c r="H37" s="9" t="inlineStr">
        <is>
          <t>Не применимо: это работа, а не выбор технологии; состав — ADR-600, раздел «Документация и согласование ИБ»</t>
        </is>
      </c>
      <c r="I37" s="9" t="inlineStr">
        <is>
          <t>Календарный срок определяет служба ИБ водоканала.</t>
        </is>
      </c>
      <c r="J37" s="9" t="inlineStr">
        <is>
          <t>Полная сверка диаграмм с кодом, нагрузочные и security-сценарии, резюме для CTO.</t>
        </is>
      </c>
      <c r="K37" s="9" t="inlineStr">
        <is>
          <t>—</t>
        </is>
      </c>
      <c r="L37" s="9" t="inlineStr">
        <is>
          <t>Условие перехода к Этапу 2 — согласование ИБ (ADR-100/600).</t>
        </is>
      </c>
      <c r="M37" s="17" t="n">
        <v>5</v>
      </c>
      <c r="N37" s="25" t="n">
        <v>7.5</v>
      </c>
      <c r="O37" s="18" t="inlineStr">
        <is>
          <t>Из блока ADR-600: Документация и ИБ</t>
        </is>
      </c>
      <c r="P37" s="9" t="inlineStr">
        <is>
          <t>Согласование перечня триггеров self-hosted-перехода с ИБ.</t>
        </is>
      </c>
      <c r="Q37" s="9" t="inlineStr">
        <is>
          <t>—</t>
        </is>
      </c>
      <c r="R37" s="9" t="inlineStr">
        <is>
          <t>Триггеры должны быть согласованы до срабатывания, а не после.</t>
        </is>
      </c>
      <c r="S37" s="19" t="n"/>
      <c r="T37" s="19" t="n"/>
      <c r="U37" s="9" t="n"/>
      <c r="V37" s="9" t="inlineStr">
        <is>
          <t>ADR-400; ADR-600</t>
        </is>
      </c>
    </row>
    <row r="38">
      <c r="A38" s="9" t="n">
        <v>36</v>
      </c>
      <c r="B38" s="23" t="inlineStr">
        <is>
          <t>Сквозная работа</t>
        </is>
      </c>
      <c r="C38" s="11" t="inlineStr">
        <is>
          <t>GPU-узел в кластере владельца (решение после проверки на реальных данных)</t>
        </is>
      </c>
      <c r="D38" s="9" t="inlineStr">
        <is>
          <t>Kubernetes-кластер владельца (новый GPU-узел); embedding-inference; reranker-inference; ETL индексации</t>
        </is>
      </c>
      <c r="E38" s="9" t="inlineStr">
        <is>
          <t>Kubernetes: плагин устройств GPU, метки узлов и taints; драйвер видеокарты</t>
        </is>
      </c>
      <c r="F38" s="9" t="inlineStr">
        <is>
          <t>В кластере, где работает личный кабинет и где размещается наш контур, GPU-узлов нет (решение заказчика проекта, 24.09.2026). Без них MVP на CPU: эмбеддинги e5-small (36–37 мс на запрос), реранкер выключен, индексация считает эмбеддинги на CPU.</t>
        </is>
      </c>
      <c r="G38" s="9" t="inlineStr">
        <is>
          <t>Без GPU: BGE-M3 (300 мс) и реранкер (7,2 с на 20 кандидатах) не укладываются в бюджет 100 мс на CPU. С GPU-узлом: возможны BGE-M3, реранкер, позже собственная модель. Владелец примет решение о GPU-узле только после проверки на реальных данных (24.09.2026): тест моделей идёт на CPU, скорость на GPU — коротким замером на временной видеокарте (ADR-200, «Почему Kubernetes», ADR-600).</t>
        </is>
      </c>
      <c r="H38" s="9" t="inlineStr">
        <is>
          <t>ADR-200, подраздел «Почему Kubernetes, а не другая оркестрация» (пункт «GPU»); ADR-300, раздел 2; ADR-600, «GPU-узел в кластере владельца — решение после проверки на реальных данных»</t>
        </is>
      </c>
      <c r="I38" s="9" t="inlineStr">
        <is>
          <t>Цена и сроки закупки сервера не оценены; скорость моделей на GPU не измерялась; отдел владельца GPU не эксплуатировал.</t>
        </is>
      </c>
      <c r="J38" s="9" t="inlineStr">
        <is>
          <t>Решение — после проверки на реальных данных. Лестница (каждый следующий вариант — только если предыдущий не подошёл): (1) CPU + YandexGPT — базовый: поиск на CPU (e5-small), реранкер выключен, генерация через внешний API (на прототипе YandexGPT; новых потоков данных вовне нет); (2) аренда GPU на месяц — замер скорости, качество на обезличенных текстах, пилот (2–4 чел-дн оценка автора, цена аренды не оценена, нужно согласование с ИБ); (3) покупка — по итогам аренды, решение владельца. Критерии (выбраны заказчиком проекта 24.09.2026): А — hit@3 ≥ 85% и hit@1 ≥ 60% на размеченном наборе живых обращений (рабочие значения, предложение автора, подтверждает владелец после разметки первых 100 обращений); Б — доля ответов, оценённых экспертом как верные и полезные, не ниже 80% на подвыборке не менее 200 (рабочее значение автора); В — пустых выдач из-за реранкера (пуста при «реранкер → порог», но не пуста без реранкера) не более 3% вопросов с ответом в базе (рабочее значение автора, только для реранкера; порядок «порог → реранкер» проходит по построению); D — GPU оправдан при выигрыше над лучшим CPU не менее 5 п.п. по hit@3 или MRR; С — скорость не ниже прототипа: до первого куска ответа медиана ≤ 0,78 с, до конца ответа ≤ 2,6 с (замер прототипа 24.09.2026 на 19 вызовах), поиск P99 ≤ 100 мс. Вариант 1 не подходит при нарушении А, Б или С. Набор для проверки — от 300–400 размеченных обращений (на 30 доверительный интервал ±18 п.п.), сравнение парное. Если решение — покупать (после аренды): закупка сервера и подключение к общему кластеру (драйверы, плагин устройств, метки и запреты размещения, квоты, согласование с отделом) — 3–5 чел-дн без закупки.</t>
        </is>
      </c>
      <c r="K38" s="9" t="inlineStr">
        <is>
          <t>Kubernetes: плагин устройств GPU, метки узлов и taints; драйвер видеокарты.</t>
        </is>
      </c>
      <c r="L38" s="9" t="inlineStr">
        <is>
          <t>Тест BGE-M3 и реранкеров остаётся в плане при любом исходе: он и даёт основание для решения. Строка отражает работы на случай покупки и в итог сметы не входит.</t>
        </is>
      </c>
      <c r="M38" s="12" t="n">
        <v>3</v>
      </c>
      <c r="N38" s="12" t="n">
        <v>5</v>
      </c>
      <c r="O38" s="13" t="inlineStr">
        <is>
          <t>По триггеру (решение владельца после проверки на реальных данных; оценка автора)</t>
        </is>
      </c>
      <c r="P38" s="14" t="inlineStr">
        <is>
          <t>Без изменений</t>
        </is>
      </c>
      <c r="Q38" s="15" t="n"/>
      <c r="R38" s="15" t="n"/>
      <c r="S38" s="16" t="n"/>
      <c r="T38" s="16" t="n"/>
      <c r="U38" s="15" t="n"/>
      <c r="V38" s="9" t="inlineStr">
        <is>
          <t>ADR-200; ADR-300; ADR-500; ADR-600</t>
        </is>
      </c>
    </row>
    <row r="39">
      <c r="A39" s="9" t="n">
        <v>37</v>
      </c>
      <c r="B39" s="23" t="inlineStr">
        <is>
          <t>Сквозная работа</t>
        </is>
      </c>
      <c r="C39" s="11" t="inlineStr">
        <is>
          <t>Выбор семейства собственной модели и закупка GPU</t>
        </is>
      </c>
      <c r="D39" s="9" t="inlineStr">
        <is>
          <t>LLM Provider (собственная модель, тираж); LLM Gateway; GPU-пул</t>
        </is>
      </c>
      <c r="E39" s="9" t="inlineStr">
        <is>
          <t>Qwen2.5-32B INT4; vLLM; 1× GPU A100 80 ГБ</t>
        </is>
      </c>
      <c r="F39" s="9" t="inlineStr">
        <is>
          <t>Выбор Qwen2.5 сделан по репутации, на эталонном наборе не проверен.</t>
        </is>
      </c>
      <c r="G39" s="9" t="inlineStr">
        <is>
          <t>Qwen2.5 (Apache 2.0, сильный русский, 7B→32B без переделки) против Llama 3.x (русский слабее — по репутации; довод «нет варианта под одну карту A100» не подтверждён: 70B в INT4 тоже поместилась бы на 80 ГБ) и открытых весов GigaChat (менее зрелый инструментарий — по общим сведениям, не проверялось).</t>
        </is>
      </c>
      <c r="H39" s="9" t="inlineStr">
        <is>
          <t>ADR-300, раздел 4, подраздел «Сравнение семейства self-hosted-модели тиража»; стоимость — ADR-500</t>
        </is>
      </c>
      <c r="I39" s="9" t="inlineStr">
        <is>
          <t>Закупка оборудования — недели или месяцы, это снабжение, не разработка.</t>
        </is>
      </c>
      <c r="J39" s="14" t="inlineStr">
        <is>
          <t>Без изменений</t>
        </is>
      </c>
      <c r="K39" s="15" t="n"/>
      <c r="L39" s="15" t="n"/>
      <c r="M39" s="16" t="n"/>
      <c r="N39" s="16" t="n"/>
      <c r="O39" s="15" t="n"/>
      <c r="P39" s="9" t="inlineStr">
        <is>
          <t>Сравнение семейств на эталонном наборе; закупка и ввод GPU-сервера 1× A100 80 ГБ.</t>
        </is>
      </c>
      <c r="Q39" s="9" t="inlineStr">
        <is>
          <t>Qwen2.5-32B INT4, vLLM.</t>
        </is>
      </c>
      <c r="R39" s="9" t="inlineStr">
        <is>
          <t>Аренда исключена не по цене, а по триггеру (речь о собственной модели генерации; для проверки эмбеддингов и реранкера на MVP аренда на месяц допустима): облачный GPU считается внешним сервисом.</t>
        </is>
      </c>
      <c r="S39" s="20" t="n">
        <v>3</v>
      </c>
      <c r="T39" s="20" t="n">
        <v>5</v>
      </c>
      <c r="U39" s="21" t="inlineStr">
        <is>
          <t>ADR-600</t>
        </is>
      </c>
      <c r="V39" s="9" t="inlineStr">
        <is>
          <t>ADR-300; ADR-500; ADR-600</t>
        </is>
      </c>
    </row>
    <row r="40">
      <c r="A40" s="9" t="n">
        <v>38</v>
      </c>
      <c r="B40" s="23" t="inlineStr">
        <is>
          <t>Сквозная работа</t>
        </is>
      </c>
      <c r="C40" s="11" t="inlineStr">
        <is>
          <t>Анализ всех типов обращений на живых данных и повторный выбор моделей</t>
        </is>
      </c>
      <c r="D40" s="9" t="inlineStr">
        <is>
          <t>Backend (Triage, ответчики); embedding-inference; reranker-inference; Qdrant (переиндексация при смене модели); LLM Gateway (пороги)</t>
        </is>
      </c>
      <c r="E40" s="9" t="inlineStr">
        <is>
          <t>Скрипты замера (`scripts/`), `golden_set/`, PII Filter; результат — Inquiry_Types.xlsx</t>
        </is>
      </c>
      <c r="F40" s="9" t="inlineStr">
        <is>
          <t>Замер на 136 настоящих обращениях (по 9 текстов на тип; `Inquiry_Types.xlsx`): слова подбирались на тех же текстах, на отложенной трети охват 75%, точность 65%. Модели выбраны по репутации и замеру задержки.</t>
        </is>
      </c>
      <c r="G40" s="9" t="inlineStr">
        <is>
          <t>Не применимо: это работа, а не выбор технологии; сравнение моделей входит в её состав.</t>
        </is>
      </c>
      <c r="H40" s="9" t="inlineStr">
        <is>
          <t>ADR-300, разделы 1–2 (решение); ADR-600, раздел «Анализ типов обращений на живых данных»</t>
        </is>
      </c>
      <c r="I40" s="9" t="inlineStr">
        <is>
          <t>Метка типа в выгрузке поставлена оператором, знавшим больше, чем написано в тексте; выборка мала; у девяти типов нет запасного k-NN; качество BGE-M3 против e5-small не сравнивалось; пороги k-NN не переносятся на другую модель.</t>
        </is>
      </c>
      <c r="J40" s="9" t="inlineStr">
        <is>
          <t>Выгрузка живых обращений (не менее 100 на тип), обезличивание, разметка, анализ всех 16 типов и 6 тем; заново собрать таблицу типов и тем; после этого заново выбрать модели эмбеддингов и запасного классификатора для MVP (сравнение — в строке «Эмбеддинги»). Для каждой реплики размечается число задач и считается доля реплик с двумя и более — триггер 4 перехода агента на LangGraph (выше 5%, ADR-200); в пределах оценки.</t>
        </is>
      </c>
      <c r="K40" s="9" t="inlineStr">
        <is>
          <t>Скрипты замера (`scripts/measure_classifier.py`, `measure_search_models.py`), `golden_set/`, PII Filter; результат — обновлённый `Inquiry_Types.xlsx`.</t>
        </is>
      </c>
      <c r="L40" s="9" t="inlineStr">
        <is>
          <t>Выбор моделей по репутации нельзя защищать без замера качества на живых данных; смена модели эмбеддингов — самое дорогое решение для отмены (полная переиндексация). Зафиксировано в ADR-300 и ADR-600. Оценка не включает сравнение моделей и расширение классификатора — они учтены в строках «Эмбеддинги» и «Классификатор обращений».</t>
        </is>
      </c>
      <c r="M40" s="17" t="n">
        <v>13</v>
      </c>
      <c r="N40" s="17" t="n">
        <v>19</v>
      </c>
      <c r="O40" s="18" t="inlineStr">
        <is>
          <t>Из блока ADR-600: Анализ типов на живых данных</t>
        </is>
      </c>
      <c r="P40" s="9" t="inlineStr">
        <is>
          <t>Повторное решение по моделям для тиража по живой статистике MVP.</t>
        </is>
      </c>
      <c r="Q40" s="9" t="inlineStr">
        <is>
          <t>Те же скрипты замера; при смене модели — переиндексация и пересчёт порогов k-NN.</t>
        </is>
      </c>
      <c r="R40" s="9" t="inlineStr">
        <is>
          <t>Проверить, что модель MVP годится при нагрузке тиража; при необходимости пересчитать пороги и sizing.</t>
        </is>
      </c>
      <c r="S40" s="20" t="n">
        <v>2</v>
      </c>
      <c r="T40" s="20" t="n">
        <v>3</v>
      </c>
      <c r="U40" s="21" t="inlineStr">
        <is>
          <t>ADR-600</t>
        </is>
      </c>
      <c r="V40" s="9" t="inlineStr">
        <is>
          <t>ADR-300; ADR-600; Inquiry_Types.xlsx</t>
        </is>
      </c>
    </row>
    <row r="41">
      <c r="A41" s="9" t="n">
        <v>39</v>
      </c>
      <c r="B41" s="23" t="inlineStr">
        <is>
          <t>Сквозная работа</t>
        </is>
      </c>
      <c r="C41" s="11" t="inlineStr">
        <is>
          <t>Несколько задач в одной реплике (доработка после прототипа)</t>
        </is>
      </c>
      <c r="D41" s="9" t="inlineStr">
        <is>
          <t>Backend (оркестратор, детектор намерений); LLM Gateway (охранитель, правило в промпте); Session State Store; виджет (кнопки нескольких обращений)</t>
        </is>
      </c>
      <c r="E41" s="9" t="inlineStr">
        <is>
          <t>Python; `app/agents/intents.py` (правила на регулярных выражениях); `Orchestrator._stream_parts`; `unperformed_action` в `app/gateway/guardrails.py`; метрика `assistant_multi_intent_total`</t>
        </is>
      </c>
      <c r="F41" s="9" t="inlineStr">
        <is>
          <t>На прототипе реализовано: детектор намерений разбирает реплику на задачи правилами (`app/agents/intents.py`), оркестратор отвечает по каждой части, операции без выполнения получают прямой отказ, условие «если долга нет» проверяется по Биллингу; ложное «сделал» блокируется правилом в промпте и в охранителе (`unperformed_action`). Тесты: 22 + 16 + 8. Измерение на выгрузке обращений (`scripts/measure_intents.py`): несколько задач в 1 из 136 текстов (0,7%) — срабатывание детектора, не разметка людьми.</t>
        </is>
      </c>
      <c r="G41" s="9" t="inlineStr">
        <is>
          <t>Правила, а не модель: модель на каждой реплике стоила бы времени и токенов, а её разбиение нечем проверить. LangGraph реплику на задачи не разбирает — детектор нужен в любом случае (ADR-200, «Как реализовано: несколько задач в одной реплике»).</t>
        </is>
      </c>
      <c r="H41" s="9" t="inlineStr">
        <is>
          <t>ADR-200, подраздел «Как реализовано: несколько задач в одной реплике» (в разделе «Оркестрация агента»); ADR-100, раздел «Несколько задач в одной реплике»; ADR-400</t>
        </is>
      </c>
      <c r="I41" s="9" t="inlineStr">
        <is>
          <t>Предел 300 знаков, перечни глаголов и операций подобраны автором на 136 обращениях регистра, не на репликах чата; точность и полнота на размеченных репликах не измерены. Регистрация только по первой части, из условий проверяется лишь долг, путь `generate` не разбирается, второй бланк перезапишет первый.</t>
        </is>
      </c>
      <c r="J41" s="9" t="inlineStr">
        <is>
          <t>Проверка детектора на размеченных репликах чата (точность, полнота, подбор предела и перечней); регистрация нескольких обращений из одной реплики (несколько черновиков, подтверждение каждого, виджет); условия помимо долга; путь `generate`, лимиты и порядок частей.</t>
        </is>
      </c>
      <c r="K41" s="9" t="inlineStr">
        <is>
          <t>Python; правила на регулярных выражениях; метрика `assistant_multi_intent_total`; состояние диалога в Redis.</t>
        </is>
      </c>
      <c r="L41" s="9" t="inlineStr">
        <is>
          <t>Без этого вторая задача реплики теряется, а модель может написать, что выполнила операцию; доля многозадачных реплик по разметке людьми — условие перехода на LangGraph (триггер 4).</t>
        </is>
      </c>
      <c r="M41" s="17" t="n">
        <v>9</v>
      </c>
      <c r="N41" s="17" t="n">
        <v>14</v>
      </c>
      <c r="O41" s="18" t="inlineStr">
        <is>
          <t>Из блока ADR-600: Несколько задач в одной реплике (доработка после прототипа)</t>
        </is>
      </c>
      <c r="P41" s="14" t="inlineStr">
        <is>
          <t>Без изменений</t>
        </is>
      </c>
      <c r="Q41" s="15" t="n"/>
      <c r="R41" s="15" t="n"/>
      <c r="S41" s="16" t="n"/>
      <c r="T41" s="16" t="n"/>
      <c r="U41" s="15" t="n"/>
      <c r="V41" s="9" t="inlineStr">
        <is>
          <t>ADR-100; ADR-200; ADR-400; ADR-600</t>
        </is>
      </c>
    </row>
    <row r="42">
      <c r="A42" s="9" t="n">
        <v>40</v>
      </c>
      <c r="B42" s="23" t="inlineStr">
        <is>
          <t>Сквозная работа</t>
        </is>
      </c>
      <c r="C42" s="11" t="inlineStr">
        <is>
          <t>Проверка на живых данных: Guardrails и выбор провайдера (YandexGPT, GigaChat)</t>
        </is>
      </c>
      <c r="D42" s="9" t="inlineStr">
        <is>
          <t>LLM Gateway; Guardrails; LLM Provider (YandexGPT, GigaChat); Backend; PII Filter</t>
        </is>
      </c>
      <c r="E42" s="9" t="inlineStr">
        <is>
          <t>Скрипты замера (`scripts/`), судья качества, метрики Prometheus, LiteLLM Router (цепочки переключения), PII Filter</t>
        </is>
      </c>
      <c r="F42" s="9" t="inlineStr">
        <is>
          <t>Проверки Guardrails и выбор провайдеров сделаны без живых вопросов и ответов: на прототипе работает YandexGPT (и локальная модель для тестов), GigaChat недоступен.</t>
        </is>
      </c>
      <c r="G42" s="9" t="inlineStr">
        <is>
          <t>Не применимо: это работа, а не выбор технологии; сравнение YandexGPT и GigaChat на живых данных — её содержание.</t>
        </is>
      </c>
      <c r="H42" s="9" t="inlineStr">
        <is>
          <t>ADR-300, раздел 4 (провайдеры, «Выбор провайдера для MVP предварительный»); ADR-400, «Проверка работоспособности Guardrails на живых данных»; ADR-600, раздел «Проверка Guardrails и выбор провайдера на живых данных»</t>
        </is>
      </c>
      <c r="I42" s="9" t="inlineStr">
        <is>
          <t>Неизвестны частота ложных блокировок и пропусков Guardrails на живых ответах; неизвестно, какой из двух провайдеров лучше на вопросах абонентов и кто из них должен быть запасным.</t>
        </is>
      </c>
      <c r="J42" s="9" t="inlineStr">
        <is>
          <t>1) Проверка работоспособности Guardrails на живых вопросах — не менее 200 из единой выборки 300–400 (общей с тестами эмбеддингов и реранкера; ответы этого прогона без реранкера — базовая линия критерия Б): разметка нарушений, ложные срабатывания и пропуски, правка шаблонов. 2) Тест YandexGPT и GigaChat Pro на той же выборке: качество, время до первого куска и полного ответа, доля блокировок, сбои, стоимость. 3) Решение об основном и запасном провайдере, запись в ADR-300, настройка цепочек переключения.</t>
        </is>
      </c>
      <c r="K42" s="9" t="inlineStr">
        <is>
          <t>Скрипты замера (`scripts/run_quality_eval.py`, `scripts/check_yandex.py`), судья качества, метрики Prometheus, LiteLLM Router (цепочки переключения), PII Filter; результат — решение в ADR-300 и конфигурация.</t>
        </is>
      </c>
      <c r="L42" s="9" t="inlineStr">
        <is>
          <t>Без живых данных нельзя обосновать ни пороги проверок ответа, ни выбор основного и запасного провайдера. Настройка GigaChat (сертификаты НУЦ, ключ) учтена в строке «LLM Provider» и сюда не входит. Сюда же входит оптимизация синхронной проверки: проверять новый кусок с перекрытием, а не весь накопленный текст, и замер на ответах 500–3 000 знаков (1–2 чел-дн).</t>
        </is>
      </c>
      <c r="M42" s="17" t="n">
        <v>11</v>
      </c>
      <c r="N42" s="17" t="n">
        <v>18</v>
      </c>
      <c r="O42" s="18" t="inlineStr">
        <is>
          <t>Из блока ADR-600: Проверка Guardrails и провайдеров на живых данных</t>
        </is>
      </c>
      <c r="P42" s="14" t="inlineStr">
        <is>
          <t>Без изменений</t>
        </is>
      </c>
      <c r="Q42" s="15" t="n"/>
      <c r="R42" s="15" t="n"/>
      <c r="S42" s="16" t="n"/>
      <c r="T42" s="16" t="n"/>
      <c r="U42" s="15" t="n"/>
      <c r="V42" s="9" t="inlineStr">
        <is>
          <t>ADR-300; ADR-400; ADR-600</t>
        </is>
      </c>
    </row>
    <row r="44">
      <c r="C44" s="26" t="inlineStr">
        <is>
          <t>Цвет ячеек с оценкой:</t>
        </is>
      </c>
    </row>
    <row r="45">
      <c r="C45" s="27" t="n"/>
      <c r="D45" s="28" t="inlineStr">
        <is>
          <t>цифра прямо из ADR-600</t>
        </is>
      </c>
    </row>
    <row r="46">
      <c r="C46" s="29" t="n"/>
      <c r="D46" s="28" t="inlineStr">
        <is>
          <t>цифра блока ADR-600 (или его доля, распределённая автором) — подтвердить</t>
        </is>
      </c>
    </row>
    <row r="47">
      <c r="C47" s="30" t="n"/>
      <c r="D47" s="28" t="inlineStr">
        <is>
          <t>в ADR-600 нет, оценка автора — подтвердить</t>
        </is>
      </c>
    </row>
    <row r="48">
      <c r="C48" s="31" t="n"/>
      <c r="D48" s="28" t="inlineStr">
        <is>
          <t>изменений на этом этапе нет</t>
        </is>
      </c>
    </row>
  </sheetData>
  <autoFilter ref="A2:V42"/>
  <mergeCells count="4">
    <mergeCell ref="E1:I1"/>
    <mergeCell ref="A1:D1"/>
    <mergeCell ref="P1:U1"/>
    <mergeCell ref="J1:O1"/>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M34"/>
  <sheetViews>
    <sheetView showGridLines="0" workbookViewId="0">
      <selection activeCell="A1" sqref="A1"/>
    </sheetView>
  </sheetViews>
  <sheetFormatPr baseColWidth="8" defaultRowHeight="15"/>
  <cols>
    <col width="34" customWidth="1" min="1" max="1"/>
    <col width="34" customWidth="1" min="2" max="2"/>
    <col width="46" customWidth="1" min="3" max="3"/>
    <col width="16" customWidth="1" min="4" max="4"/>
    <col width="16" customWidth="1" min="5" max="5"/>
    <col width="16" customWidth="1" min="6" max="6"/>
    <col width="44" customWidth="1" min="7" max="7"/>
    <col width="18" customWidth="1" min="8" max="8"/>
    <col width="18" customWidth="1" min="9" max="9"/>
    <col width="18" customWidth="1" min="10" max="10"/>
    <col width="18" customWidth="1" min="11" max="11"/>
  </cols>
  <sheetData>
    <row r="1">
      <c r="A1" s="32" t="inlineStr">
        <is>
          <t>Стоимость доработок по контурам</t>
        </is>
      </c>
    </row>
    <row r="2">
      <c r="A2" s="33" t="inlineStr">
        <is>
          <t>Единица — человеко-день. 1 неделя = 5 чел-дн; размер команды в ADR-600 не задан, поэтому считается как один исполнитель.</t>
        </is>
      </c>
    </row>
    <row r="4" ht="44" customHeight="1">
      <c r="A4" s="5" t="inlineStr">
        <is>
          <t>Контур</t>
        </is>
      </c>
      <c r="B4" s="5" t="inlineStr">
        <is>
          <t>Итого, чел-дн (мин)</t>
        </is>
      </c>
      <c r="C4" s="5" t="inlineStr">
        <is>
          <t>Итого, чел-дн (макс)</t>
        </is>
      </c>
      <c r="D4" s="5" t="inlineStr">
        <is>
          <t>Чел-нед (мин)</t>
        </is>
      </c>
      <c r="E4" s="5" t="inlineStr">
        <is>
          <t>Чел-нед (макс)</t>
        </is>
      </c>
      <c r="F4" s="5" t="inlineStr">
        <is>
          <t>Прямо из ADR-600 (мин)</t>
        </is>
      </c>
      <c r="G4" s="5" t="inlineStr">
        <is>
          <t>Прямо из ADR-600 (макс)</t>
        </is>
      </c>
      <c r="H4" s="5" t="inlineStr">
        <is>
          <t>Доли блоков ADR-600 (мин)</t>
        </is>
      </c>
      <c r="I4" s="5" t="inlineStr">
        <is>
          <t>Доли блоков ADR-600 (макс)</t>
        </is>
      </c>
      <c r="J4" s="5" t="inlineStr">
        <is>
          <t>Оценка автора (мин)</t>
        </is>
      </c>
      <c r="K4" s="5" t="inlineStr">
        <is>
          <t>Оценка автора (макс)</t>
        </is>
      </c>
      <c r="L4" s="5" t="inlineStr">
        <is>
          <t>По триггеру, не в итоге (мин)</t>
        </is>
      </c>
      <c r="M4" s="5" t="inlineStr">
        <is>
          <t>По триггеру, не в итоге (макс)</t>
        </is>
      </c>
    </row>
    <row r="5">
      <c r="A5" s="11" t="inlineStr">
        <is>
          <t>MVP — 8 000 абонентов</t>
        </is>
      </c>
      <c r="B5" s="34">
        <f>SUM('Матрица'!$M$3:$M$42)-SUMIF('Матрица'!$O$3:$O$42,"По триггеру*",'Матрица'!$M$3:$M$42)</f>
        <v/>
      </c>
      <c r="C5" s="34">
        <f>SUM('Матрица'!$N$3:$N$42)-SUMIF('Матрица'!$O$3:$O$42,"По триггеру*",'Матрица'!$N$3:$N$42)</f>
        <v/>
      </c>
      <c r="D5" s="34">
        <f>B5/5</f>
        <v/>
      </c>
      <c r="E5" s="34">
        <f>C5/5</f>
        <v/>
      </c>
      <c r="F5" s="35">
        <f>SUMIF('Матрица'!$O$3:$O$42,"ADR-600",'Матрица'!$M$3:$M$42)</f>
        <v/>
      </c>
      <c r="G5" s="35">
        <f>SUMIF('Матрица'!$O$3:$O$42,"ADR-600",'Матрица'!$N$3:$N$42)</f>
        <v/>
      </c>
      <c r="H5" s="36">
        <f>SUMIF('Матрица'!$O$3:$O$42,"Из блока*",'Матрица'!$M$3:$M$42)</f>
        <v/>
      </c>
      <c r="I5" s="36">
        <f>SUMIF('Матрица'!$O$3:$O$42,"Из блока*",'Матрица'!$N$3:$N$42)</f>
        <v/>
      </c>
      <c r="J5" s="37">
        <f>SUMIF('Матрица'!$O$3:$O$42,"Оценка автора",'Матрица'!$M$3:$M$42)</f>
        <v/>
      </c>
      <c r="K5" s="37">
        <f>SUMIF('Матрица'!$O$3:$O$42,"Оценка автора",'Матрица'!$N$3:$N$42)</f>
        <v/>
      </c>
      <c r="L5" s="34">
        <f>SUMIF('Матрица'!$O$3:$O$42,"По триггеру*",'Матрица'!$M$3:$M$42)</f>
        <v/>
      </c>
      <c r="M5" s="34">
        <f>SUMIF('Матрица'!$O$3:$O$42,"По триггеру*",'Матрица'!$N$3:$N$42)</f>
        <v/>
      </c>
    </row>
    <row r="6">
      <c r="A6" s="11" t="inlineStr">
        <is>
          <t>Тираж — 90 000 абонентов</t>
        </is>
      </c>
      <c r="B6" s="34">
        <f>SUM('Матрица'!$S$3:$S$42)-SUMIF('Матрица'!$U$3:$U$42,"По триггеру*",'Матрица'!$S$3:$S$42)</f>
        <v/>
      </c>
      <c r="C6" s="34">
        <f>SUM('Матрица'!$T$3:$T$42)-SUMIF('Матрица'!$U$3:$U$42,"По триггеру*",'Матрица'!$T$3:$T$42)</f>
        <v/>
      </c>
      <c r="D6" s="34">
        <f>B6/5</f>
        <v/>
      </c>
      <c r="E6" s="34">
        <f>C6/5</f>
        <v/>
      </c>
      <c r="F6" s="35">
        <f>SUMIF('Матрица'!$U$3:$U$42,"ADR-600",'Матрица'!$S$3:$S$42)</f>
        <v/>
      </c>
      <c r="G6" s="35">
        <f>SUMIF('Матрица'!$U$3:$U$42,"ADR-600",'Матрица'!$T$3:$T$42)</f>
        <v/>
      </c>
      <c r="H6" s="36">
        <f>SUMIF('Матрица'!$U$3:$U$42,"Из блока*",'Матрица'!$S$3:$S$42)</f>
        <v/>
      </c>
      <c r="I6" s="36">
        <f>SUMIF('Матрица'!$U$3:$U$42,"Из блока*",'Матрица'!$T$3:$T$42)</f>
        <v/>
      </c>
      <c r="J6" s="37">
        <f>SUMIF('Матрица'!$U$3:$U$42,"Оценка автора",'Матрица'!$S$3:$S$42)</f>
        <v/>
      </c>
      <c r="K6" s="37">
        <f>SUMIF('Матрица'!$U$3:$U$42,"Оценка автора",'Матрица'!$T$3:$T$42)</f>
        <v/>
      </c>
      <c r="L6" s="34">
        <f>SUMIF('Матрица'!$U$3:$U$42,"По триггеру*",'Матрица'!$S$3:$S$42)</f>
        <v/>
      </c>
      <c r="M6" s="34">
        <f>SUMIF('Матрица'!$U$3:$U$42,"По триггеру*",'Матрица'!$T$3:$T$42)</f>
        <v/>
      </c>
    </row>
    <row r="7">
      <c r="A7" s="11" t="inlineStr">
        <is>
          <t>Итого</t>
        </is>
      </c>
      <c r="B7" s="38">
        <f>SUM(B5:B6)</f>
        <v/>
      </c>
      <c r="C7" s="38">
        <f>SUM(C5:C6)</f>
        <v/>
      </c>
      <c r="D7" s="38">
        <f>SUM(D5:D6)</f>
        <v/>
      </c>
      <c r="E7" s="38">
        <f>SUM(E5:E6)</f>
        <v/>
      </c>
      <c r="F7" s="38">
        <f>SUM(F5:F6)</f>
        <v/>
      </c>
      <c r="G7" s="38">
        <f>SUM(G5:G6)</f>
        <v/>
      </c>
      <c r="H7" s="38">
        <f>SUM(H5:H6)</f>
        <v/>
      </c>
      <c r="I7" s="38">
        <f>SUM(I5:I6)</f>
        <v/>
      </c>
      <c r="J7" s="38">
        <f>SUM(J5:J6)</f>
        <v/>
      </c>
      <c r="K7" s="38">
        <f>SUM(K5:K6)</f>
        <v/>
      </c>
      <c r="L7" s="38">
        <f>SUM(L5:L6)</f>
        <v/>
      </c>
      <c r="M7" s="38">
        <f>SUM(M5:M6)</f>
        <v/>
      </c>
    </row>
    <row r="8">
      <c r="A8" s="33" t="inlineStr">
        <is>
          <t>«Оценка автора» — работы, которых нет в ADR-600 (инфраструктура MVP, виджет, вынос шлюза и т. п.); поэтому итог MVP больше, чем «9–13 недель» ADR-600. Столбцы «По триггеру» — работы, которые появятся только при наступлении триггера (переход агента на LangGraph); в итог не входят.</t>
        </is>
      </c>
    </row>
    <row r="9">
      <c r="A9" s="11" t="inlineStr">
        <is>
          <t>Ставка, ₽ за чел-день (не задана — введите)</t>
        </is>
      </c>
      <c r="B9" s="39" t="n"/>
      <c r="C9" s="40" t="n"/>
      <c r="D9" s="41" t="n"/>
    </row>
    <row r="10">
      <c r="A10" s="9" t="inlineStr">
        <is>
          <t>Стоимость доработок MVP, ₽ (мин — макс)</t>
        </is>
      </c>
      <c r="B10" s="39" t="n"/>
      <c r="C10" s="40" t="n"/>
      <c r="D10" s="42">
        <f>IF($D$9="","",B5*$D$9)</f>
        <v/>
      </c>
      <c r="E10" s="42">
        <f>IF($D$9="","",C5*$D$9)</f>
        <v/>
      </c>
    </row>
    <row r="11">
      <c r="A11" s="9" t="inlineStr">
        <is>
          <t>Стоимость доработок тиража, ₽ (мин — макс)</t>
        </is>
      </c>
      <c r="B11" s="39" t="n"/>
      <c r="C11" s="40" t="n"/>
      <c r="D11" s="42">
        <f>IF($D$9="","",B6*$D$9)</f>
        <v/>
      </c>
      <c r="E11" s="42">
        <f>IF($D$9="","",C6*$D$9)</f>
        <v/>
      </c>
    </row>
    <row r="13">
      <c r="A13" s="43" t="inlineStr">
        <is>
          <t>Сверка с блоками ADR-600 (MVP)</t>
        </is>
      </c>
    </row>
    <row r="14" ht="44" customHeight="1">
      <c r="A14" s="5" t="inlineStr">
        <is>
          <t>Блок ADR-600</t>
        </is>
      </c>
      <c r="B14" s="5" t="inlineStr">
        <is>
          <t>ADR-600 (мин), чел-дн</t>
        </is>
      </c>
      <c r="C14" s="5" t="inlineStr">
        <is>
          <t>ADR-600 (макс), чел-дн</t>
        </is>
      </c>
      <c r="D14" s="5" t="inlineStr">
        <is>
          <t>Сумма по строкам (мин)</t>
        </is>
      </c>
      <c r="E14" s="5" t="inlineStr">
        <is>
          <t>Сумма по строкам (макс)</t>
        </is>
      </c>
      <c r="F14" s="5" t="inlineStr">
        <is>
          <t>Сходится?</t>
        </is>
      </c>
      <c r="G14" s="5" t="inlineStr">
        <is>
          <t>Как получена цифра ADR-600</t>
        </is>
      </c>
    </row>
    <row r="15">
      <c r="A15" s="11" t="inlineStr">
        <is>
          <t>P0</t>
        </is>
      </c>
      <c r="B15" s="34" t="n">
        <v>11.5</v>
      </c>
      <c r="C15" s="34" t="n">
        <v>17</v>
      </c>
      <c r="D15" s="34">
        <f>SUMIF('Матрица'!$O$3:$O$42,"Из блока ADR-600: P0",'Матрица'!$M$3:$M$42)</f>
        <v/>
      </c>
      <c r="E15" s="34">
        <f>SUMIF('Матрица'!$O$3:$O$42,"Из блока ADR-600: P0",'Матрица'!$N$3:$N$42)</f>
        <v/>
      </c>
      <c r="F15" s="44">
        <f>IF(AND(D15=B15,E15=C15),"да","НЕТ")</f>
        <v/>
      </c>
      <c r="G15" s="9" t="inlineStr">
        <is>
          <t>≈2,5–3,5 недели: смета 1–2 дня, NFR 2–3 дня, допущения нагрузки 1 неделя, пересчёт по данным 3–5 + по пилоту 1–2 чел-дн</t>
        </is>
      </c>
    </row>
    <row r="16">
      <c r="A16" s="11" t="inlineStr">
        <is>
          <t>Согласования</t>
        </is>
      </c>
      <c r="B16" s="34" t="n">
        <v>4</v>
      </c>
      <c r="C16" s="34" t="n">
        <v>8</v>
      </c>
      <c r="D16" s="34">
        <f>SUMIF('Матрица'!$O$3:$O$42,"Из блока ADR-600: Согласования",'Матрица'!$M$3:$M$42)</f>
        <v/>
      </c>
      <c r="E16" s="34">
        <f>SUMIF('Матрица'!$O$3:$O$42,"Из блока ADR-600: Согласования",'Матрица'!$N$3:$N$42)</f>
        <v/>
      </c>
      <c r="F16" s="44">
        <f>IF(AND(D16=B16,E16=C16),"да","НЕТ")</f>
        <v/>
      </c>
      <c r="G16" s="9" t="inlineStr">
        <is>
          <t>1–2 дня на пункт; пунктов принято 4 (коды типов, текст о качестве воды, четыре процесса вне справочника, настоящие бланки) — подтвердить</t>
        </is>
      </c>
    </row>
    <row r="17">
      <c r="A17" s="11" t="inlineStr">
        <is>
          <t>Качество поиска и классификации</t>
        </is>
      </c>
      <c r="B17" s="34" t="n">
        <v>38</v>
      </c>
      <c r="C17" s="34" t="n">
        <v>56</v>
      </c>
      <c r="D17" s="34">
        <f>SUMIF('Матрица'!$O$3:$O$42,"Из блока ADR-600: Качество поиска и классификации",'Матрица'!$M$3:$M$42)</f>
        <v/>
      </c>
      <c r="E17" s="34">
        <f>SUMIF('Матрица'!$O$3:$O$42,"Из блока ADR-600: Качество поиска и классификации",'Матрица'!$N$3:$N$42)</f>
        <v/>
      </c>
      <c r="F17" s="44">
        <f>IF(AND(D17=B17,E17=C17),"да","НЕТ")</f>
        <v/>
      </c>
      <c r="G17" s="9" t="inlineStr">
        <is>
          <t>≈8–11 недель: классификатор 8–12 + эмбеддинги 10–14 + реранкер 10–15 + судья 6–9 + полнота обезличивания 4–6</t>
        </is>
      </c>
    </row>
    <row r="18">
      <c r="A18" s="11" t="inlineStr">
        <is>
          <t>Основная разработка Этапа 2</t>
        </is>
      </c>
      <c r="B18" s="34" t="n">
        <v>20</v>
      </c>
      <c r="C18" s="34" t="n">
        <v>30</v>
      </c>
      <c r="D18" s="34">
        <f>SUMIF('Матрица'!$O$3:$O$42,"Из блока ADR-600: Основная разработка Этапа 2",'Матрица'!$M$3:$M$42)</f>
        <v/>
      </c>
      <c r="E18" s="34">
        <f>SUMIF('Матрица'!$O$3:$O$42,"Из блока ADR-600: Основная разработка Этапа 2",'Матрица'!$N$3:$N$42)</f>
        <v/>
      </c>
      <c r="F18" s="44">
        <f>IF(AND(D18=B18,E18=C18),"да","НЕТ")</f>
        <v/>
      </c>
      <c r="G18" s="9" t="inlineStr">
        <is>
          <t>4–6 недель</t>
        </is>
      </c>
    </row>
    <row r="19">
      <c r="A19" s="11" t="inlineStr">
        <is>
          <t>Документация и ИБ</t>
        </is>
      </c>
      <c r="B19" s="34" t="n">
        <v>5</v>
      </c>
      <c r="C19" s="34" t="n">
        <v>7.5</v>
      </c>
      <c r="D19" s="34">
        <f>SUMIF('Матрица'!$O$3:$O$42,"Из блока ADR-600: Документация и ИБ",'Матрица'!$M$3:$M$42)</f>
        <v/>
      </c>
      <c r="E19" s="34">
        <f>SUMIF('Матрица'!$O$3:$O$42,"Из блока ADR-600: Документация и ИБ",'Матрица'!$N$3:$N$42)</f>
        <v/>
      </c>
      <c r="F19" s="44">
        <f>IF(AND(D19=B19,E19=C19),"да","НЕТ")</f>
        <v/>
      </c>
      <c r="G19" s="9" t="inlineStr">
        <is>
          <t>1–1,5 недели</t>
        </is>
      </c>
    </row>
    <row r="20">
      <c r="A20" s="11" t="inlineStr">
        <is>
          <t>Анализ типов на живых данных</t>
        </is>
      </c>
      <c r="B20" s="34" t="n">
        <v>13</v>
      </c>
      <c r="C20" s="34" t="n">
        <v>19</v>
      </c>
      <c r="D20" s="34">
        <f>SUMIF('Матрица'!$O$3:$O$42,"Из блока ADR-600: Анализ типов на живых данных",'Матрица'!$M$3:$M$42)</f>
        <v/>
      </c>
      <c r="E20" s="34">
        <f>SUMIF('Матрица'!$O$3:$O$42,"Из блока ADR-600: Анализ типов на живых данных",'Матрица'!$N$3:$N$42)</f>
        <v/>
      </c>
      <c r="F20" s="44">
        <f>IF(AND(D20=B20,E20=C20),"да","НЕТ")</f>
        <v/>
      </c>
      <c r="G20" s="9" t="inlineStr">
        <is>
          <t>13–19 чел-дн (ADR-600, дополнительно к блоку «Качество поиска и классификации»)</t>
        </is>
      </c>
    </row>
    <row r="21">
      <c r="A21" s="11" t="inlineStr">
        <is>
          <t>Несколько задач в одной реплике (доработка после прототипа)</t>
        </is>
      </c>
      <c r="B21" s="34" t="n">
        <v>9</v>
      </c>
      <c r="C21" s="34" t="n">
        <v>14</v>
      </c>
      <c r="D21" s="34">
        <f>SUMIF('Матрица'!$O$3:$O$42,"Из блока ADR-600: Несколько задач в одной реплике (доработка после прототипа)",'Матрица'!$M$3:$M$42)</f>
        <v/>
      </c>
      <c r="E21" s="34">
        <f>SUMIF('Матрица'!$O$3:$O$42,"Из блока ADR-600: Несколько задач в одной реплике (доработка после прототипа)",'Матрица'!$N$3:$N$42)</f>
        <v/>
      </c>
      <c r="F21" s="44">
        <f>IF(AND(D21=B21,E21=C21),"да","НЕТ")</f>
        <v/>
      </c>
      <c r="G21" s="9" t="inlineStr">
        <is>
          <t>9–14 чел-дн (ADR-600): проверка детектора на репликах чата 3–4, несколько обращений из одной реплики 3–5, условия помимо долга 2–3, путь generate и лимиты 1–2</t>
        </is>
      </c>
    </row>
    <row r="22">
      <c r="A22" s="11" t="inlineStr">
        <is>
          <t>Проверка Guardrails и провайдеров на живых данных</t>
        </is>
      </c>
      <c r="B22" s="34" t="n">
        <v>11</v>
      </c>
      <c r="C22" s="34" t="n">
        <v>18</v>
      </c>
      <c r="D22" s="34">
        <f>SUMIF('Матрица'!$O$3:$O$42,"Из блока ADR-600: Проверка Guardrails и провайдеров на живых данных",'Матрица'!$M$3:$M$42)</f>
        <v/>
      </c>
      <c r="E22" s="34">
        <f>SUMIF('Матрица'!$O$3:$O$42,"Из блока ADR-600: Проверка Guardrails и провайдеров на живых данных",'Матрица'!$N$3:$N$42)</f>
        <v/>
      </c>
      <c r="F22" s="44">
        <f>IF(AND(D22=B22,E22=C22),"да","НЕТ")</f>
        <v/>
      </c>
      <c r="G22" s="9" t="inlineStr">
        <is>
          <t>11–18 чел-дн (ADR-600): выборка 1–2, Guardrails 4–6, оптимизация синхронной проверки 1–2, сравнение провайдеров 4–6, решение 1–2</t>
        </is>
      </c>
    </row>
    <row r="23">
      <c r="A23" s="11" t="inlineStr">
        <is>
          <t>Итого по блокам</t>
        </is>
      </c>
      <c r="B23" s="38">
        <f>SUM(B15:B22)</f>
        <v/>
      </c>
      <c r="C23" s="38">
        <f>SUM(C15:C22)</f>
        <v/>
      </c>
      <c r="D23" s="38">
        <f>SUM(D15:D22)</f>
        <v/>
      </c>
      <c r="E23" s="38">
        <f>SUM(E15:E22)</f>
        <v/>
      </c>
      <c r="F23" s="45">
        <f>IF(AND(D23=B23,E23=C23),"да","НЕТ")</f>
        <v/>
      </c>
      <c r="G23" s="9" t="inlineStr">
        <is>
          <t>ADR-600 называет итог ≈22–34 недели (≈110–170 чел-дн); сумма блоков 111,5–169,5 — округление в самом ADR-600</t>
        </is>
      </c>
    </row>
    <row r="25">
      <c r="A25" s="43" t="inlineStr">
        <is>
          <t>Затраты, которые не выражаются человеко-днями</t>
        </is>
      </c>
    </row>
    <row r="26">
      <c r="A26" s="5" t="inlineStr">
        <is>
          <t>Контур</t>
        </is>
      </c>
      <c r="B26" s="5" t="inlineStr">
        <is>
          <t>Статья</t>
        </is>
      </c>
      <c r="C26" s="5" t="inlineStr">
        <is>
          <t>Значение / комментарий</t>
        </is>
      </c>
      <c r="D26" s="5" t="inlineStr">
        <is>
          <t>От</t>
        </is>
      </c>
      <c r="E26" s="5" t="inlineStr">
        <is>
          <t>До</t>
        </is>
      </c>
      <c r="F26" s="5" t="inlineStr">
        <is>
          <t>Единица</t>
        </is>
      </c>
      <c r="G26" s="5" t="inlineStr">
        <is>
          <t>Источник</t>
        </is>
      </c>
    </row>
    <row r="27">
      <c r="A27" s="11" t="inlineStr">
        <is>
          <t>MVP</t>
        </is>
      </c>
      <c r="B27" s="9" t="inlineStr">
        <is>
          <t>Токены генерации (YandexGPT Pro, 0,8 ₽ за 1000 токенов)</t>
        </is>
      </c>
      <c r="C27" s="9" t="inlineStr">
        <is>
          <t>Минимум — 1 234 ₽/мес (7% абонентов в чате, 30% вопросов до модели, 401 токен на запрос, судья раз в неделю); максимум — 101 280 ₽/мес (35%, 70%, 3 500 токенов, судья каждую ночь). Допущения о спросе данными водоканала не подтверждены; разброс ×82</t>
        </is>
      </c>
      <c r="D27" s="42" t="n">
        <v>1234</v>
      </c>
      <c r="E27" s="42" t="n">
        <v>101280</v>
      </c>
      <c r="F27" s="9" t="inlineStr">
        <is>
          <t>₽/мес</t>
        </is>
      </c>
      <c r="G27" s="9" t="inlineStr">
        <is>
          <t>Capacity_Report; лист «Прогноз стоимости»</t>
        </is>
      </c>
    </row>
    <row r="28">
      <c r="A28" s="11" t="inlineStr">
        <is>
          <t>Тираж</t>
        </is>
      </c>
      <c r="B28" s="9" t="inlineStr">
        <is>
          <t>Токены генерации и судьи качества (тариф YandexGPT Pro 0,8 ₽ за 1000 токенов)</t>
        </is>
      </c>
      <c r="C28" s="9" t="inlineStr">
        <is>
          <t>Минимум — 3 305 ₽/мес, максимум — 1,07 млн ₽/мес (0,66 вопроса/с в пике); при собственной модели заменяется CAPEX на карту</t>
        </is>
      </c>
      <c r="D28" s="42" t="n">
        <v>3305</v>
      </c>
      <c r="E28" s="42" t="n">
        <v>1065600</v>
      </c>
      <c r="F28" s="9" t="inlineStr">
        <is>
          <t>₽/мес</t>
        </is>
      </c>
      <c r="G28" s="9" t="inlineStr">
        <is>
          <t>Capacity_Report; лист «Прогноз стоимости»</t>
        </is>
      </c>
    </row>
    <row r="29">
      <c r="A29" s="11" t="inlineStr">
        <is>
          <t>MVP</t>
        </is>
      </c>
      <c r="B29" s="9" t="inlineStr">
        <is>
          <t>GPU-сервер под эмбеддинги и реранкер (только если владелец добавит GPU-узел: в кластере GPU нет)</t>
        </is>
      </c>
      <c r="C29" s="9" t="inlineStr">
        <is>
          <t>Не оценён отдельной строкой сметы; скорость на GPU не измерялась</t>
        </is>
      </c>
      <c r="D29" s="42" t="n"/>
      <c r="E29" s="42" t="n"/>
      <c r="F29" s="9" t="inlineStr">
        <is>
          <t>₽</t>
        </is>
      </c>
      <c r="G29" s="9" t="inlineStr">
        <is>
          <t>ADR-500 (открытый пункт)</t>
        </is>
      </c>
    </row>
    <row r="30">
      <c r="A30" s="11" t="inlineStr">
        <is>
          <t>MVP</t>
        </is>
      </c>
      <c r="B30" s="9" t="inlineStr">
        <is>
          <t>Kubernetes-кластер, хранилища, наблюдаемость (железо, размещение, обслуживание)</t>
        </is>
      </c>
      <c r="C30" s="9" t="inlineStr">
        <is>
          <t>Не оценены</t>
        </is>
      </c>
      <c r="D30" s="42" t="n"/>
      <c r="E30" s="42" t="n"/>
      <c r="F30" s="9" t="inlineStr">
        <is>
          <t>₽</t>
        </is>
      </c>
      <c r="G30" s="9" t="inlineStr">
        <is>
          <t>ADR-500 (открытый пункт)</t>
        </is>
      </c>
    </row>
    <row r="31">
      <c r="A31" s="11" t="inlineStr">
        <is>
          <t>Тираж</t>
        </is>
      </c>
      <c r="B31" s="9" t="inlineStr">
        <is>
          <t>Карта A100 80 ГБ (покупка)</t>
        </is>
      </c>
      <c r="C31" s="9" t="inlineStr">
        <is>
          <t>OEM ≈927 000 ₽; оригинал/сертифицированная ≈2 368 080 ₽ (аренда 35–50 тыс. ₽/мес исключена триггером). Источник цен в проекте не зафиксирован, коммерческих предложений нет — подтвердить</t>
        </is>
      </c>
      <c r="D31" s="42" t="n">
        <v>927000</v>
      </c>
      <c r="E31" s="42" t="n">
        <v>2368080</v>
      </c>
      <c r="F31" s="9" t="inlineStr">
        <is>
          <t>₽</t>
        </is>
      </c>
      <c r="G31" s="9" t="inlineStr">
        <is>
          <t>ADR-500</t>
        </is>
      </c>
    </row>
    <row r="32">
      <c r="A32" s="11" t="inlineStr">
        <is>
          <t>Тираж</t>
        </is>
      </c>
      <c r="B32" s="9" t="inlineStr">
        <is>
          <t>Сервер-хост, электричество, размещение, обслуживание GPU</t>
        </is>
      </c>
      <c r="C32" s="9" t="inlineStr">
        <is>
          <t>Не оценены</t>
        </is>
      </c>
      <c r="D32" s="42" t="n"/>
      <c r="E32" s="42" t="n"/>
      <c r="F32" s="9" t="inlineStr">
        <is>
          <t>₽</t>
        </is>
      </c>
      <c r="G32" s="9" t="inlineStr">
        <is>
          <t>ADR-500 (открытый пункт)</t>
        </is>
      </c>
    </row>
    <row r="34">
      <c r="A34" s="33" t="inlineStr">
        <is>
          <t>Все суммы в ₽ — прогнозная модель, не смета: CAPEX/OPEX не утверждены владельцем (ADR-500). Закупка GPU — недели или месяцы лид-тайма, не разработка.</t>
        </is>
      </c>
    </row>
  </sheetData>
  <mergeCells count="3">
    <mergeCell ref="A10:C10"/>
    <mergeCell ref="A9:C9"/>
    <mergeCell ref="A11:C1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56"/>
  <sheetViews>
    <sheetView showGridLines="0" workbookViewId="0">
      <selection activeCell="A1" sqref="A1"/>
    </sheetView>
  </sheetViews>
  <sheetFormatPr baseColWidth="8" defaultRowHeight="15"/>
  <cols>
    <col width="6" customWidth="1" min="1" max="1"/>
    <col width="44" customWidth="1" min="2" max="2"/>
    <col width="12" customWidth="1" min="3" max="3"/>
    <col width="12" customWidth="1" min="4" max="4"/>
    <col width="12" customWidth="1" min="5" max="5"/>
    <col width="52" customWidth="1" min="6" max="6"/>
  </cols>
  <sheetData>
    <row r="1">
      <c r="A1" s="32" t="inlineStr">
        <is>
          <t>Источники и допущения</t>
        </is>
      </c>
    </row>
    <row r="3" ht="30" customHeight="1">
      <c r="A3" s="46" t="inlineStr">
        <is>
          <t>•</t>
        </is>
      </c>
      <c r="B3" s="47" t="inlineStr">
        <is>
          <t>Единица стоимости</t>
        </is>
      </c>
      <c r="C3" s="48" t="inlineStr">
        <is>
          <t>Человеко-день. 1 неделя = 5 чел-дн. Размер команды в ADR-600 не задан — принят один исполнитель.</t>
        </is>
      </c>
    </row>
    <row r="4" ht="30" customHeight="1">
      <c r="A4" s="46" t="inlineStr">
        <is>
          <t>•</t>
        </is>
      </c>
      <c r="B4" s="47" t="inlineStr">
        <is>
          <t>Что сравнивается</t>
        </is>
      </c>
      <c r="C4" s="48" t="inlineStr">
        <is>
          <t>Колонки «Сейчас» — то, что работает на прототипе. MVP и тираж — целевые контуры (ADR-100, ADR-200, ADR-500). Строки, где на этапе ничего не меняется, помечены «Без изменений» и серым.</t>
        </is>
      </c>
    </row>
    <row r="5" ht="45" customHeight="1">
      <c r="A5" s="46" t="inlineStr">
        <is>
          <t>•</t>
        </is>
      </c>
      <c r="B5" s="47" t="inlineStr">
        <is>
          <t>Оценки, которые нужно подтвердить</t>
        </is>
      </c>
      <c r="C5" s="48" t="inlineStr">
        <is>
          <t>В ADR-600 трудозатраты даны по блокам работ, а не по контейнерам. Доли блоков по строкам распределены автором таблицы так, что сумма по блоку совпадает с оценкой ADR-600 (лист «Стоимость», сверка). Ниже — все ячейки, где цифра не взята прямо из ADR-600.</t>
        </is>
      </c>
    </row>
    <row r="6" ht="30" customHeight="1">
      <c r="A6" s="46" t="inlineStr">
        <is>
          <t>•</t>
        </is>
      </c>
      <c r="B6" s="47" t="inlineStr">
        <is>
          <t>Тираж: расхождение в ADR-600</t>
        </is>
      </c>
      <c r="C6" s="48" t="inlineStr">
        <is>
          <t>Сумма задач перехода к тиражу в ADR-600 — 17–26 чел-дн (3–5 + 5 + 2–3 + 5–10 + 2–3), сам документ округляет до «≈3,5–5 недель». В таблице — построчные значения.</t>
        </is>
      </c>
    </row>
    <row r="7" ht="105" customHeight="1">
      <c r="A7" s="46" t="inlineStr">
        <is>
          <t>•</t>
        </is>
      </c>
      <c r="B7" s="47" t="inlineStr">
        <is>
          <t>Нагрузка и деньги</t>
        </is>
      </c>
      <c r="C7" s="48" t="inlineStr">
        <is>
          <t>MVP — 8 000 абонентов; тираж — 90 000. Прогноз токенов и стоимости — минимум и максимум (лист «Прогноз стоимости», `Capacity_Report.html`): учтено, что не все абоненты приходят в чат (7–35%) и только 30–70% вопросов доходит до модели. Цена одна — публичный тариф YandexGPT Pro 0,8 ₽ за 1000 токенов из ADR-500 (не проверялся; тариф GigaChat Pro неизвестен). Цен на серверы и GPU нет. Допущения о спросе данными водоканала не подтверждены; токенов на запрос: измерено 401 (19 вызовов, фрагменты FAQ до 300 знаков), допущение максимума — 3 500. Пересчёт после получения данных — 3–5 чел-дн, по пилоту — 1–2 (блок P0 ADR-600).</t>
        </is>
      </c>
    </row>
    <row r="8" ht="135" customHeight="1">
      <c r="A8" s="46" t="inlineStr">
        <is>
          <t>•</t>
        </is>
      </c>
      <c r="B8" s="47" t="inlineStr">
        <is>
          <t>Замеры 24.09.2026</t>
        </is>
      </c>
      <c r="C8" s="48" t="inlineStr">
        <is>
          <t>Время запроса на CPU: e5-small 22–37 мс, BGE-M3 210–300 мс, реранкер на 20 кандидатах 7,2 с; бюджет поиска 100 мс. Синхронная проверка Guardrails: на ответе ≈800 знаков P95 ≈49 мс, на ≈2 000 знаков P95 ≈120 мс (бюджет 50 мс). YandexGPT, 19 вызовов: время до первого куска — медиана 0,78 с, P90 5,6 с; до конца ответа — медиана 2,6 с. Postgres, 2 млн строк телеметрии: 589 МБ, агрегаты 0,35–1,5 с. Qdrant, 100 000 векторов размерности 1 024: P99 65 мс без фильтра, 37 мс с фильтром. Backend, путь без модели: 117 запросов/с на процесс, 8,5 мс CPU на запрос. Память: обезличиватель 769 МиБ, эмбеддер e5-small +300 МиБ, контейнер Backend 1,32 ГиБ. Redis: ключ квоты ≈0,5 КБ, сессия ≈0,8 КБ на ход. Prometheus: 84 ряда на процесс. Выбранные допущения и расчёт узлов — лист «Sizing».</t>
        </is>
      </c>
    </row>
    <row r="9" ht="75" customHeight="1">
      <c r="A9" s="46" t="inlineStr">
        <is>
          <t>•</t>
        </is>
      </c>
      <c r="B9" s="47" t="inlineStr">
        <is>
          <t>Что не измерялось</t>
        </is>
      </c>
      <c r="C9" s="48" t="inlineStr">
        <is>
          <t>Скорость любых моделей на GPU. Качество BGE-M3 и других кандидатов на данных проекта. Выигрыш реранкера над текущим индексом (единственный замер сделан на корпусе из 20 фрагментов). Полнота обезличивания на живых данных. Длина запроса на базе из нескольких тысяч документов. Данные о спросе. Сравнения по документации (pgvector, Milvus, Feature Store, Airflow, Loki, Litestar и др.) замером не проверялись.</t>
        </is>
      </c>
    </row>
    <row r="10" ht="30" customHeight="1">
      <c r="A10" s="46" t="inlineStr">
        <is>
          <t>•</t>
        </is>
      </c>
      <c r="B10" s="47" t="inlineStr">
        <is>
          <t>Внешние зависимости</t>
        </is>
      </c>
      <c r="C10" s="48" t="inlineStr">
        <is>
          <t>Сроки внедрения зависят от сигнатур API владельцев (Биллинг, Диспетчерская, микросервис обращений), согласования ИБ, поставки оборудования. Эти ожидания в человеко-днях не учтены.</t>
        </is>
      </c>
    </row>
    <row r="12">
      <c r="B12" s="43" t="inlineStr">
        <is>
          <t>Ячейки с оценкой автора — подтвердить</t>
        </is>
      </c>
    </row>
    <row r="13">
      <c r="A13" s="5" t="inlineStr">
        <is>
          <t>№</t>
        </is>
      </c>
      <c r="B13" s="5" t="inlineStr">
        <is>
          <t>Контейнер / связь</t>
        </is>
      </c>
      <c r="C13" s="5" t="inlineStr">
        <is>
          <t>Контур</t>
        </is>
      </c>
      <c r="D13" s="5" t="inlineStr">
        <is>
          <t>Мин</t>
        </is>
      </c>
      <c r="E13" s="5" t="inlineStr">
        <is>
          <t>Макс</t>
        </is>
      </c>
      <c r="F13" s="5" t="inlineStr">
        <is>
          <t>Основа оценки</t>
        </is>
      </c>
    </row>
    <row r="14">
      <c r="A14" s="9">
        <f>'Матрица'!A3</f>
        <v/>
      </c>
      <c r="B14" s="9">
        <f>'Матрица'!C3</f>
        <v/>
      </c>
      <c r="C14" s="9" t="inlineStr">
        <is>
          <t>MVP</t>
        </is>
      </c>
      <c r="D14" s="34">
        <f>'Матрица'!M3</f>
        <v/>
      </c>
      <c r="E14" s="34">
        <f>'Матрица'!N3</f>
        <v/>
      </c>
      <c r="F14" s="13">
        <f>'Матрица'!O3</f>
        <v/>
      </c>
    </row>
    <row r="15">
      <c r="A15" s="9">
        <f>'Матрица'!A4</f>
        <v/>
      </c>
      <c r="B15" s="9">
        <f>'Матрица'!C4</f>
        <v/>
      </c>
      <c r="C15" s="9" t="inlineStr">
        <is>
          <t>MVP</t>
        </is>
      </c>
      <c r="D15" s="34">
        <f>'Матрица'!M4</f>
        <v/>
      </c>
      <c r="E15" s="34">
        <f>'Матрица'!N4</f>
        <v/>
      </c>
      <c r="F15" s="18">
        <f>'Матрица'!O4</f>
        <v/>
      </c>
    </row>
    <row r="16">
      <c r="A16" s="9">
        <f>'Матрица'!A5</f>
        <v/>
      </c>
      <c r="B16" s="9">
        <f>'Матрица'!C5</f>
        <v/>
      </c>
      <c r="C16" s="9" t="inlineStr">
        <is>
          <t>MVP</t>
        </is>
      </c>
      <c r="D16" s="34">
        <f>'Матрица'!M5</f>
        <v/>
      </c>
      <c r="E16" s="34">
        <f>'Матрица'!N5</f>
        <v/>
      </c>
      <c r="F16" s="18">
        <f>'Матрица'!O5</f>
        <v/>
      </c>
    </row>
    <row r="17">
      <c r="A17" s="9">
        <f>'Матрица'!A6</f>
        <v/>
      </c>
      <c r="B17" s="9">
        <f>'Матрица'!C6</f>
        <v/>
      </c>
      <c r="C17" s="9" t="inlineStr">
        <is>
          <t>MVP</t>
        </is>
      </c>
      <c r="D17" s="34">
        <f>'Матрица'!M6</f>
        <v/>
      </c>
      <c r="E17" s="34">
        <f>'Матрица'!N6</f>
        <v/>
      </c>
      <c r="F17" s="13">
        <f>'Матрица'!O6</f>
        <v/>
      </c>
    </row>
    <row r="18">
      <c r="A18" s="9">
        <f>'Матрица'!A7</f>
        <v/>
      </c>
      <c r="B18" s="9">
        <f>'Матрица'!C7</f>
        <v/>
      </c>
      <c r="C18" s="9" t="inlineStr">
        <is>
          <t>MVP</t>
        </is>
      </c>
      <c r="D18" s="34">
        <f>'Матрица'!M7</f>
        <v/>
      </c>
      <c r="E18" s="34">
        <f>'Матрица'!N7</f>
        <v/>
      </c>
      <c r="F18" s="18">
        <f>'Матрица'!O7</f>
        <v/>
      </c>
    </row>
    <row r="19">
      <c r="A19" s="9">
        <f>'Матрица'!A8</f>
        <v/>
      </c>
      <c r="B19" s="9">
        <f>'Матрица'!C8</f>
        <v/>
      </c>
      <c r="C19" s="9" t="inlineStr">
        <is>
          <t>MVP</t>
        </is>
      </c>
      <c r="D19" s="34">
        <f>'Матрица'!M8</f>
        <v/>
      </c>
      <c r="E19" s="34">
        <f>'Матрица'!N8</f>
        <v/>
      </c>
      <c r="F19" s="18">
        <f>'Матрица'!O8</f>
        <v/>
      </c>
    </row>
    <row r="20">
      <c r="A20" s="9">
        <f>'Матрица'!A9</f>
        <v/>
      </c>
      <c r="B20" s="9">
        <f>'Матрица'!C9</f>
        <v/>
      </c>
      <c r="C20" s="9" t="inlineStr">
        <is>
          <t>MVP</t>
        </is>
      </c>
      <c r="D20" s="34">
        <f>'Матрица'!M9</f>
        <v/>
      </c>
      <c r="E20" s="34">
        <f>'Матрица'!N9</f>
        <v/>
      </c>
      <c r="F20" s="13">
        <f>'Матрица'!O9</f>
        <v/>
      </c>
    </row>
    <row r="21">
      <c r="A21" s="9">
        <f>'Матрица'!A10</f>
        <v/>
      </c>
      <c r="B21" s="9">
        <f>'Матрица'!C10</f>
        <v/>
      </c>
      <c r="C21" s="9" t="inlineStr">
        <is>
          <t>MVP</t>
        </is>
      </c>
      <c r="D21" s="34">
        <f>'Матрица'!M10</f>
        <v/>
      </c>
      <c r="E21" s="34">
        <f>'Матрица'!N10</f>
        <v/>
      </c>
      <c r="F21" s="18">
        <f>'Матрица'!O10</f>
        <v/>
      </c>
    </row>
    <row r="22">
      <c r="A22" s="9">
        <f>'Матрица'!A11</f>
        <v/>
      </c>
      <c r="B22" s="9">
        <f>'Матрица'!C11</f>
        <v/>
      </c>
      <c r="C22" s="9" t="inlineStr">
        <is>
          <t>MVP</t>
        </is>
      </c>
      <c r="D22" s="34">
        <f>'Матрица'!M11</f>
        <v/>
      </c>
      <c r="E22" s="34">
        <f>'Матрица'!N11</f>
        <v/>
      </c>
      <c r="F22" s="18">
        <f>'Матрица'!O11</f>
        <v/>
      </c>
    </row>
    <row r="23">
      <c r="A23" s="9">
        <f>'Матрица'!A12</f>
        <v/>
      </c>
      <c r="B23" s="9">
        <f>'Матрица'!C12</f>
        <v/>
      </c>
      <c r="C23" s="9" t="inlineStr">
        <is>
          <t>MVP</t>
        </is>
      </c>
      <c r="D23" s="34">
        <f>'Матрица'!M12</f>
        <v/>
      </c>
      <c r="E23" s="34">
        <f>'Матрица'!N12</f>
        <v/>
      </c>
      <c r="F23" s="13">
        <f>'Матрица'!O12</f>
        <v/>
      </c>
    </row>
    <row r="24">
      <c r="A24" s="9">
        <f>'Матрица'!A13</f>
        <v/>
      </c>
      <c r="B24" s="9">
        <f>'Матрица'!C13</f>
        <v/>
      </c>
      <c r="C24" s="9" t="inlineStr">
        <is>
          <t>MVP</t>
        </is>
      </c>
      <c r="D24" s="34">
        <f>'Матрица'!M13</f>
        <v/>
      </c>
      <c r="E24" s="34">
        <f>'Матрица'!N13</f>
        <v/>
      </c>
      <c r="F24" s="13">
        <f>'Матрица'!O13</f>
        <v/>
      </c>
    </row>
    <row r="25">
      <c r="A25" s="9">
        <f>'Матрица'!A14</f>
        <v/>
      </c>
      <c r="B25" s="9">
        <f>'Матрица'!C14</f>
        <v/>
      </c>
      <c r="C25" s="9" t="inlineStr">
        <is>
          <t>MVP</t>
        </is>
      </c>
      <c r="D25" s="34">
        <f>'Матрица'!M14</f>
        <v/>
      </c>
      <c r="E25" s="34">
        <f>'Матрица'!N14</f>
        <v/>
      </c>
      <c r="F25" s="13">
        <f>'Матрица'!O14</f>
        <v/>
      </c>
    </row>
    <row r="26">
      <c r="A26" s="9">
        <f>'Матрица'!A15</f>
        <v/>
      </c>
      <c r="B26" s="9">
        <f>'Матрица'!C15</f>
        <v/>
      </c>
      <c r="C26" s="9" t="inlineStr">
        <is>
          <t>MVP</t>
        </is>
      </c>
      <c r="D26" s="34">
        <f>'Матрица'!M15</f>
        <v/>
      </c>
      <c r="E26" s="34">
        <f>'Матрица'!N15</f>
        <v/>
      </c>
      <c r="F26" s="13">
        <f>'Матрица'!O15</f>
        <v/>
      </c>
    </row>
    <row r="27">
      <c r="A27" s="9">
        <f>'Матрица'!A15</f>
        <v/>
      </c>
      <c r="B27" s="9">
        <f>'Матрица'!C15</f>
        <v/>
      </c>
      <c r="C27" s="9" t="inlineStr">
        <is>
          <t>Тираж</t>
        </is>
      </c>
      <c r="D27" s="34">
        <f>'Матрица'!S15</f>
        <v/>
      </c>
      <c r="E27" s="34">
        <f>'Матрица'!T15</f>
        <v/>
      </c>
      <c r="F27" s="13">
        <f>'Матрица'!U15</f>
        <v/>
      </c>
    </row>
    <row r="28">
      <c r="A28" s="9">
        <f>'Матрица'!A16</f>
        <v/>
      </c>
      <c r="B28" s="9">
        <f>'Матрица'!C16</f>
        <v/>
      </c>
      <c r="C28" s="9" t="inlineStr">
        <is>
          <t>MVP</t>
        </is>
      </c>
      <c r="D28" s="34">
        <f>'Матрица'!M16</f>
        <v/>
      </c>
      <c r="E28" s="34">
        <f>'Матрица'!N16</f>
        <v/>
      </c>
      <c r="F28" s="13">
        <f>'Матрица'!O16</f>
        <v/>
      </c>
    </row>
    <row r="29">
      <c r="A29" s="9">
        <f>'Матрица'!A16</f>
        <v/>
      </c>
      <c r="B29" s="9">
        <f>'Матрица'!C16</f>
        <v/>
      </c>
      <c r="C29" s="9" t="inlineStr">
        <is>
          <t>Тираж</t>
        </is>
      </c>
      <c r="D29" s="34">
        <f>'Матрица'!S16</f>
        <v/>
      </c>
      <c r="E29" s="34">
        <f>'Матрица'!T16</f>
        <v/>
      </c>
      <c r="F29" s="13">
        <f>'Матрица'!U16</f>
        <v/>
      </c>
    </row>
    <row r="30">
      <c r="A30" s="9">
        <f>'Матрица'!A17</f>
        <v/>
      </c>
      <c r="B30" s="9">
        <f>'Матрица'!C17</f>
        <v/>
      </c>
      <c r="C30" s="9" t="inlineStr">
        <is>
          <t>MVP</t>
        </is>
      </c>
      <c r="D30" s="34">
        <f>'Матрица'!M17</f>
        <v/>
      </c>
      <c r="E30" s="34">
        <f>'Матрица'!N17</f>
        <v/>
      </c>
      <c r="F30" s="18">
        <f>'Матрица'!O17</f>
        <v/>
      </c>
    </row>
    <row r="31">
      <c r="A31" s="9">
        <f>'Матрица'!A18</f>
        <v/>
      </c>
      <c r="B31" s="9">
        <f>'Матрица'!C18</f>
        <v/>
      </c>
      <c r="C31" s="9" t="inlineStr">
        <is>
          <t>MVP</t>
        </is>
      </c>
      <c r="D31" s="34">
        <f>'Матрица'!M18</f>
        <v/>
      </c>
      <c r="E31" s="34">
        <f>'Матрица'!N18</f>
        <v/>
      </c>
      <c r="F31" s="13">
        <f>'Матрица'!O18</f>
        <v/>
      </c>
    </row>
    <row r="32">
      <c r="A32" s="9">
        <f>'Матрица'!A19</f>
        <v/>
      </c>
      <c r="B32" s="9">
        <f>'Матрица'!C19</f>
        <v/>
      </c>
      <c r="C32" s="9" t="inlineStr">
        <is>
          <t>MVP</t>
        </is>
      </c>
      <c r="D32" s="34">
        <f>'Матрица'!M19</f>
        <v/>
      </c>
      <c r="E32" s="34">
        <f>'Матрица'!N19</f>
        <v/>
      </c>
      <c r="F32" s="18">
        <f>'Матрица'!O19</f>
        <v/>
      </c>
    </row>
    <row r="33">
      <c r="A33" s="9">
        <f>'Матрица'!A20</f>
        <v/>
      </c>
      <c r="B33" s="9">
        <f>'Матрица'!C20</f>
        <v/>
      </c>
      <c r="C33" s="9" t="inlineStr">
        <is>
          <t>MVP</t>
        </is>
      </c>
      <c r="D33" s="34">
        <f>'Матрица'!M20</f>
        <v/>
      </c>
      <c r="E33" s="34">
        <f>'Матрица'!N20</f>
        <v/>
      </c>
      <c r="F33" s="18">
        <f>'Матрица'!O20</f>
        <v/>
      </c>
    </row>
    <row r="34">
      <c r="A34" s="9">
        <f>'Матрица'!A21</f>
        <v/>
      </c>
      <c r="B34" s="9">
        <f>'Матрица'!C21</f>
        <v/>
      </c>
      <c r="C34" s="9" t="inlineStr">
        <is>
          <t>MVP</t>
        </is>
      </c>
      <c r="D34" s="34">
        <f>'Матрица'!M21</f>
        <v/>
      </c>
      <c r="E34" s="34">
        <f>'Матрица'!N21</f>
        <v/>
      </c>
      <c r="F34" s="18">
        <f>'Матрица'!O21</f>
        <v/>
      </c>
    </row>
    <row r="35">
      <c r="A35" s="9">
        <f>'Матрица'!A22</f>
        <v/>
      </c>
      <c r="B35" s="9">
        <f>'Матрица'!C22</f>
        <v/>
      </c>
      <c r="C35" s="9" t="inlineStr">
        <is>
          <t>MVP</t>
        </is>
      </c>
      <c r="D35" s="34">
        <f>'Матрица'!M22</f>
        <v/>
      </c>
      <c r="E35" s="34">
        <f>'Матрица'!N22</f>
        <v/>
      </c>
      <c r="F35" s="13">
        <f>'Матрица'!O22</f>
        <v/>
      </c>
    </row>
    <row r="36">
      <c r="A36" s="9">
        <f>'Матрица'!A23</f>
        <v/>
      </c>
      <c r="B36" s="9">
        <f>'Матрица'!C23</f>
        <v/>
      </c>
      <c r="C36" s="9" t="inlineStr">
        <is>
          <t>MVP</t>
        </is>
      </c>
      <c r="D36" s="34">
        <f>'Матрица'!M23</f>
        <v/>
      </c>
      <c r="E36" s="34">
        <f>'Матрица'!N23</f>
        <v/>
      </c>
      <c r="F36" s="13">
        <f>'Матрица'!O23</f>
        <v/>
      </c>
    </row>
    <row r="37">
      <c r="A37" s="9">
        <f>'Матрица'!A24</f>
        <v/>
      </c>
      <c r="B37" s="9">
        <f>'Матрица'!C24</f>
        <v/>
      </c>
      <c r="C37" s="9" t="inlineStr">
        <is>
          <t>MVP</t>
        </is>
      </c>
      <c r="D37" s="34">
        <f>'Матрица'!M24</f>
        <v/>
      </c>
      <c r="E37" s="34">
        <f>'Матрица'!N24</f>
        <v/>
      </c>
      <c r="F37" s="13">
        <f>'Матрица'!O24</f>
        <v/>
      </c>
    </row>
    <row r="38">
      <c r="A38" s="9">
        <f>'Матрица'!A26</f>
        <v/>
      </c>
      <c r="B38" s="9">
        <f>'Матрица'!C26</f>
        <v/>
      </c>
      <c r="C38" s="9" t="inlineStr">
        <is>
          <t>MVP</t>
        </is>
      </c>
      <c r="D38" s="34">
        <f>'Матрица'!M26</f>
        <v/>
      </c>
      <c r="E38" s="34">
        <f>'Матрица'!N26</f>
        <v/>
      </c>
      <c r="F38" s="13">
        <f>'Матрица'!O26</f>
        <v/>
      </c>
    </row>
    <row r="39">
      <c r="A39" s="9">
        <f>'Матрица'!A28</f>
        <v/>
      </c>
      <c r="B39" s="9">
        <f>'Матрица'!C28</f>
        <v/>
      </c>
      <c r="C39" s="9" t="inlineStr">
        <is>
          <t>MVP</t>
        </is>
      </c>
      <c r="D39" s="34">
        <f>'Матрица'!M28</f>
        <v/>
      </c>
      <c r="E39" s="34">
        <f>'Матрица'!N28</f>
        <v/>
      </c>
      <c r="F39" s="18">
        <f>'Матрица'!O28</f>
        <v/>
      </c>
    </row>
    <row r="40">
      <c r="A40" s="9">
        <f>'Матрица'!A35</f>
        <v/>
      </c>
      <c r="B40" s="9">
        <f>'Матрица'!C35</f>
        <v/>
      </c>
      <c r="C40" s="9" t="inlineStr">
        <is>
          <t>MVP</t>
        </is>
      </c>
      <c r="D40" s="34">
        <f>'Матрица'!M35</f>
        <v/>
      </c>
      <c r="E40" s="34">
        <f>'Матрица'!N35</f>
        <v/>
      </c>
      <c r="F40" s="18">
        <f>'Матрица'!O35</f>
        <v/>
      </c>
    </row>
    <row r="41">
      <c r="A41" s="9">
        <f>'Матрица'!A36</f>
        <v/>
      </c>
      <c r="B41" s="9">
        <f>'Матрица'!C36</f>
        <v/>
      </c>
      <c r="C41" s="9" t="inlineStr">
        <is>
          <t>MVP</t>
        </is>
      </c>
      <c r="D41" s="34">
        <f>'Матрица'!M36</f>
        <v/>
      </c>
      <c r="E41" s="34">
        <f>'Матрица'!N36</f>
        <v/>
      </c>
      <c r="F41" s="18">
        <f>'Матрица'!O36</f>
        <v/>
      </c>
    </row>
    <row r="42">
      <c r="A42" s="9">
        <f>'Матрица'!A37</f>
        <v/>
      </c>
      <c r="B42" s="9">
        <f>'Матрица'!C37</f>
        <v/>
      </c>
      <c r="C42" s="9" t="inlineStr">
        <is>
          <t>MVP</t>
        </is>
      </c>
      <c r="D42" s="34">
        <f>'Матрица'!M37</f>
        <v/>
      </c>
      <c r="E42" s="34">
        <f>'Матрица'!N37</f>
        <v/>
      </c>
      <c r="F42" s="18">
        <f>'Матрица'!O37</f>
        <v/>
      </c>
    </row>
    <row r="43">
      <c r="A43" s="9">
        <f>'Матрица'!A38</f>
        <v/>
      </c>
      <c r="B43" s="9">
        <f>'Матрица'!C38</f>
        <v/>
      </c>
      <c r="C43" s="9" t="inlineStr">
        <is>
          <t>MVP</t>
        </is>
      </c>
      <c r="D43" s="34">
        <f>'Матрица'!M38</f>
        <v/>
      </c>
      <c r="E43" s="34">
        <f>'Матрица'!N38</f>
        <v/>
      </c>
      <c r="F43" s="13">
        <f>'Матрица'!O38</f>
        <v/>
      </c>
    </row>
    <row r="44">
      <c r="A44" s="9">
        <f>'Матрица'!A40</f>
        <v/>
      </c>
      <c r="B44" s="9">
        <f>'Матрица'!C40</f>
        <v/>
      </c>
      <c r="C44" s="9" t="inlineStr">
        <is>
          <t>MVP</t>
        </is>
      </c>
      <c r="D44" s="34">
        <f>'Матрица'!M40</f>
        <v/>
      </c>
      <c r="E44" s="34">
        <f>'Матрица'!N40</f>
        <v/>
      </c>
      <c r="F44" s="18">
        <f>'Матрица'!O40</f>
        <v/>
      </c>
    </row>
    <row r="45">
      <c r="A45" s="9">
        <f>'Матрица'!A41</f>
        <v/>
      </c>
      <c r="B45" s="9">
        <f>'Матрица'!C41</f>
        <v/>
      </c>
      <c r="C45" s="9" t="inlineStr">
        <is>
          <t>MVP</t>
        </is>
      </c>
      <c r="D45" s="34">
        <f>'Матрица'!M41</f>
        <v/>
      </c>
      <c r="E45" s="34">
        <f>'Матрица'!N41</f>
        <v/>
      </c>
      <c r="F45" s="18">
        <f>'Матрица'!O41</f>
        <v/>
      </c>
    </row>
    <row r="46">
      <c r="A46" s="9">
        <f>'Матрица'!A42</f>
        <v/>
      </c>
      <c r="B46" s="9">
        <f>'Матрица'!C42</f>
        <v/>
      </c>
      <c r="C46" s="9" t="inlineStr">
        <is>
          <t>MVP</t>
        </is>
      </c>
      <c r="D46" s="34">
        <f>'Матрица'!M42</f>
        <v/>
      </c>
      <c r="E46" s="34">
        <f>'Матрица'!N42</f>
        <v/>
      </c>
      <c r="F46" s="18">
        <f>'Матрица'!O42</f>
        <v/>
      </c>
    </row>
    <row r="48">
      <c r="B48" s="43" t="inlineStr">
        <is>
          <t>Документы-источники</t>
        </is>
      </c>
    </row>
    <row r="49">
      <c r="B49" s="11" t="inlineStr">
        <is>
          <t>ADR-100</t>
        </is>
      </c>
      <c r="C49" s="9" t="inlineStr">
        <is>
          <t>Что сдано и что отложено; таблица «целевой компонент — замена на прототипе»</t>
        </is>
      </c>
    </row>
    <row r="50">
      <c r="B50" s="11" t="inlineStr">
        <is>
          <t>ADR-200</t>
        </is>
      </c>
      <c r="C50" s="9" t="inlineStr">
        <is>
          <t>Стек по слоям, альтернативы, сравнение Python/Go/Node.js</t>
        </is>
      </c>
    </row>
    <row r="51">
      <c r="B51" s="11" t="inlineStr">
        <is>
          <t>ADR-300</t>
        </is>
      </c>
      <c r="C51" s="9" t="inlineStr">
        <is>
          <t>Модели: классификация, эмбеддинги, реранкер, генерация, судья</t>
        </is>
      </c>
    </row>
    <row r="52">
      <c r="B52" s="11" t="inlineStr">
        <is>
          <t>ADR-400</t>
        </is>
      </c>
      <c r="C52" s="9" t="inlineStr">
        <is>
          <t>Безопасность по контурам, открытые пункты</t>
        </is>
      </c>
    </row>
    <row r="53">
      <c r="B53" s="11" t="inlineStr">
        <is>
          <t>ADR-500</t>
        </is>
      </c>
      <c r="C53" s="9" t="inlineStr">
        <is>
          <t>Ресурсы и стоимость: прототип, MVP, тираж</t>
        </is>
      </c>
    </row>
    <row r="54">
      <c r="B54" s="11" t="inlineStr">
        <is>
          <t>ADR-600</t>
        </is>
      </c>
      <c r="C54" s="9" t="inlineStr">
        <is>
          <t>План развития и укрупнённые оценки трудозатрат</t>
        </is>
      </c>
    </row>
    <row r="55">
      <c r="B55" s="11" t="inlineStr">
        <is>
          <t>C4_Deployment, C3/*</t>
        </is>
      </c>
      <c r="C55" s="9" t="inlineStr">
        <is>
          <t>Целевая схема развёртывания и компоненты</t>
        </is>
      </c>
    </row>
    <row r="56">
      <c r="B56" s="11" t="inlineStr">
        <is>
          <t>Код и docker-compose.yml</t>
        </is>
      </c>
      <c r="C56" s="9" t="inlineStr">
        <is>
          <t>Проверка колонки «Сейчас»</t>
        </is>
      </c>
    </row>
  </sheetData>
  <mergeCells count="16">
    <mergeCell ref="C52:F52"/>
    <mergeCell ref="C9:F9"/>
    <mergeCell ref="C53:F53"/>
    <mergeCell ref="C3:F3"/>
    <mergeCell ref="C56:F56"/>
    <mergeCell ref="C8:F8"/>
    <mergeCell ref="C49:F49"/>
    <mergeCell ref="C4:F4"/>
    <mergeCell ref="C6:F6"/>
    <mergeCell ref="C7:F7"/>
    <mergeCell ref="C54:F54"/>
    <mergeCell ref="C51:F51"/>
    <mergeCell ref="C10:F10"/>
    <mergeCell ref="C5:F5"/>
    <mergeCell ref="C55:F55"/>
    <mergeCell ref="C50:F50"/>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30" customWidth="1" min="3" max="3"/>
    <col width="78" customWidth="1" min="4" max="4"/>
    <col width="26" customWidth="1" min="5" max="5"/>
    <col width="30" customWidth="1" min="6" max="6"/>
  </cols>
  <sheetData>
    <row r="1">
      <c r="A1" s="32" t="inlineStr">
        <is>
          <t>Объём и нагрузка по контейнерам</t>
        </is>
      </c>
    </row>
    <row r="2" ht="48" customHeight="1">
      <c r="A2" s="49" t="inlineStr">
        <is>
          <t>Нагрузка из модели `Capacity_Report.html` (лист «Прогноз стоимости», допущения спроса данными водоканала не подтверждены): MVP (8 000 абонентов) — 1 680–42 000 вопросов в месяц, пик 0,002–0,058 запроса/с, одновременно 0,007–0,17; тираж (90 000) — 18 900–472 500 вопросов, пик 0,026–0,656 запроса/с, одновременно 0,08–1,97 (минимум–максимум). Сценарии рассчитаны под 10 и 100 тысяч абонентов; в ADR-500 те же контуры — 8 000 и 90 000.</t>
        </is>
      </c>
    </row>
    <row r="4">
      <c r="A4" s="5" t="inlineStr">
        <is>
          <t>№</t>
        </is>
      </c>
      <c r="B4" s="5" t="inlineStr">
        <is>
          <t>Контейнер</t>
        </is>
      </c>
      <c r="C4" s="5" t="inlineStr">
        <is>
          <t>Что определяет объём</t>
        </is>
      </c>
      <c r="D4" s="5" t="inlineStr">
        <is>
          <t>Что заложено</t>
        </is>
      </c>
      <c r="E4" s="5" t="inlineStr">
        <is>
          <t>Статус</t>
        </is>
      </c>
      <c r="F4" s="5" t="inlineStr">
        <is>
          <t>Источник</t>
        </is>
      </c>
    </row>
    <row r="5" ht="45" customHeight="1">
      <c r="A5" s="50" t="n">
        <v>1</v>
      </c>
      <c r="B5" s="11" t="inlineStr">
        <is>
          <t>AI-виджет</t>
        </is>
      </c>
      <c r="C5" s="9" t="inlineStr">
        <is>
          <t>Число одновременных пользователей</t>
        </is>
      </c>
      <c r="D5" s="9" t="inlineStr">
        <is>
          <t>Отдельного объёма нет: статические файлы, нагрузка — общая (см. Backend). Одновременно до 0,17 запроса на MVP и до 2 на тираже (максимум прогноза).</t>
        </is>
      </c>
      <c r="E5" s="9" t="inlineStr">
        <is>
          <t>Расчёт по допущениям</t>
        </is>
      </c>
      <c r="F5" s="9" t="inlineStr">
        <is>
          <t>Capacity_Report, раздел 4</t>
        </is>
      </c>
    </row>
    <row r="6" ht="60" customHeight="1">
      <c r="A6" s="50" t="n">
        <v>2</v>
      </c>
      <c r="B6" s="11" t="inlineStr">
        <is>
          <t>Backend</t>
        </is>
      </c>
      <c r="C6" s="9" t="inlineStr">
        <is>
          <t>Число запросов в секунду</t>
        </is>
      </c>
      <c r="D6" s="9" t="inlineStr">
        <is>
          <t>Общая нагрузка (см. выше). Замер: путь без модели — 117 запросов/с на один процесс (8,5 мс CPU на запрос), при 4 параллельных запросах медиана 36 мс. Выбрано: 2 реплики на MVP и 3 на тираже по 0,5 и 1 vCPU, ОЗУ 0,5 и 1 ГиБ (лист «Sizing»).</t>
        </is>
      </c>
      <c r="E6" s="9" t="inlineStr">
        <is>
          <t>Замер пропускной способности; реплики выбраны</t>
        </is>
      </c>
      <c r="F6" s="9" t="inlineStr">
        <is>
          <t>Capacity_Report, раздел 7; ADR-600 (нагрузочные тесты в плане)</t>
        </is>
      </c>
    </row>
    <row r="7" ht="45" customHeight="1">
      <c r="A7" s="50" t="n">
        <v>3</v>
      </c>
      <c r="B7" s="11" t="inlineStr">
        <is>
          <t>Классификатор обращений (Triage)</t>
        </is>
      </c>
      <c r="C7" s="9" t="inlineStr">
        <is>
          <t>Число вопросов; размер набора примеров k-NN</t>
        </is>
      </c>
      <c r="D7" s="9" t="inlineStr">
        <is>
          <t>Один проход на вопрос (22–37 мс на CPU, замер). Набор примеров сейчас — 136 обращений; для MVP требуется не менее 100 на тип (около 1 500–2 000 текстов).</t>
        </is>
      </c>
      <c r="E7" s="9" t="inlineStr">
        <is>
          <t>Замер задержки; объём набора — план</t>
        </is>
      </c>
      <c r="F7" s="9" t="inlineStr">
        <is>
          <t>ADR-300; ADR-600</t>
        </is>
      </c>
    </row>
    <row r="8" ht="45" customHeight="1">
      <c r="A8" s="50" t="n">
        <v>4</v>
      </c>
      <c r="B8" s="11" t="inlineStr">
        <is>
          <t>LLM Gateway</t>
        </is>
      </c>
      <c r="C8" s="9" t="inlineStr">
        <is>
          <t>Число вопросов и лимиты</t>
        </is>
      </c>
      <c r="D8" s="9" t="inlineStr">
        <is>
          <t>Общая нагрузка. Лимиты по умолчанию в `app/config.py`: 20 запросов в минуту на абонента, 10 на сессию, 300 на сервис (5 запросов/с); расчётом не обоснованы. Сессия живёт 30 минут.</t>
        </is>
      </c>
      <c r="E8" s="9" t="inlineStr">
        <is>
          <t>Настройки прототипа</t>
        </is>
      </c>
      <c r="F8" s="9" t="inlineStr">
        <is>
          <t>app/config.py</t>
        </is>
      </c>
    </row>
    <row r="9" ht="60" customHeight="1">
      <c r="A9" s="50" t="n">
        <v>5</v>
      </c>
      <c r="B9" s="11" t="inlineStr">
        <is>
          <t>PII Filter</t>
        </is>
      </c>
      <c r="C9" s="9" t="inlineStr">
        <is>
          <t>Число вопросов и ответов</t>
        </is>
      </c>
      <c r="D9" s="9" t="inlineStr">
        <is>
          <t>Один проход на вопрос и один на ответ. Время проверки ответа ≈800 знаков — 30–45 мс (замер), на ≈2 000 знаков — 60–70 мс. Память обезличивателя (Presidio + spaCy) — 769 МиБ (замер). Работает внутри шлюза, отдельного пода нет.</t>
        </is>
      </c>
      <c r="E9" s="9" t="inlineStr">
        <is>
          <t>Замер</t>
        </is>
      </c>
      <c r="F9" s="9" t="inlineStr">
        <is>
          <t>ADR-400</t>
        </is>
      </c>
    </row>
    <row r="10" ht="60" customHeight="1">
      <c r="A10" s="50" t="n">
        <v>6</v>
      </c>
      <c r="B10" s="11" t="inlineStr">
        <is>
          <t>Guardrails и судья качества</t>
        </is>
      </c>
      <c r="C10" s="9" t="inlineStr">
        <is>
          <t>Число ответов; оценка судьёй</t>
        </is>
      </c>
      <c r="D10" s="9" t="inlineStr">
        <is>
          <t>Судья: 1,3–23,7 млн токенов в месяц на MVP и 1,9–174 млн на тираже (эталонный набор из 30 вопросов раз в неделю или каждую ночь плюс 1–5% выборка трафика); допущение: 5 вызовов судьи по ≈2 000 токенов на образец, не измерено.</t>
        </is>
      </c>
      <c r="E10" s="9" t="inlineStr">
        <is>
          <t>Расчёт по допущениям</t>
        </is>
      </c>
      <c r="F10" s="9" t="inlineStr">
        <is>
          <t>Capacity_Report, лист «Прогноз стоимости»</t>
        </is>
      </c>
    </row>
    <row r="11" ht="75" customHeight="1">
      <c r="A11" s="50" t="n">
        <v>7</v>
      </c>
      <c r="B11" s="11" t="inlineStr">
        <is>
          <t>LLM Provider</t>
        </is>
      </c>
      <c r="C11" s="9" t="inlineStr">
        <is>
          <t>Токены генерации</t>
        </is>
      </c>
      <c r="D11" s="9" t="inlineStr">
        <is>
          <t>Токенов на запрос: измерено 401 (19 вызовов, фрагменты FAQ до 300 знаков), допущение максимума — 3 500. Стоимость токенов (генерация и судья) — 1 234–101 280 ₽ в месяц на MVP и 3 305 ₽–1,07 млн ₽ на тираже (минимум–максимум); до модели доходит 30–70% вопросов. Агент Этапа 2 добавит до 44 800 ₽ (MVP) и 504 000 ₽ (тираж) в месяц в максимуме.</t>
        </is>
      </c>
      <c r="E11" s="9" t="inlineStr">
        <is>
          <t>Замер (401) и допущение (3 500)</t>
        </is>
      </c>
      <c r="F11" s="9" t="inlineStr">
        <is>
          <t>ADR-500; Capacity_Report</t>
        </is>
      </c>
    </row>
    <row r="12" ht="30" customHeight="1">
      <c r="A12" s="50" t="n">
        <v>8</v>
      </c>
      <c r="B12" s="11" t="inlineStr">
        <is>
          <t>Эмбеддинги (модель поиска)</t>
        </is>
      </c>
      <c r="C12" s="9" t="inlineStr">
        <is>
          <t>Вопросы; индексация базы знаний</t>
        </is>
      </c>
      <c r="D12" s="9" t="inlineStr">
        <is>
          <t>Один запрос на вопрос; при индексации 30 000–100 000 частей. Скорость на CPU измерена, на GPU — нет.</t>
        </is>
      </c>
      <c r="E12" s="9" t="inlineStr">
        <is>
          <t>Замер на CPU; GPU не измерялся</t>
        </is>
      </c>
      <c r="F12" s="9" t="inlineStr">
        <is>
          <t>ADR-200; ADR-300</t>
        </is>
      </c>
    </row>
    <row r="13" ht="45" customHeight="1">
      <c r="A13" s="50" t="n">
        <v>9</v>
      </c>
      <c r="B13" s="11" t="inlineStr">
        <is>
          <t>Реранкер</t>
        </is>
      </c>
      <c r="C13" s="9" t="inlineStr">
        <is>
          <t>Вопросы × 20 кандидатов</t>
        </is>
      </c>
      <c r="D13" s="9" t="inlineStr">
        <is>
          <t>Одно переранжирование 20 кандидатов на вопрос (до 0,058 вопроса/с на MVP и 0,656 на тираже). На CPU 7,2 с (замер); загрузка GPU не оценивается: скорость на GPU не измерялась.</t>
        </is>
      </c>
      <c r="E13" s="9" t="inlineStr">
        <is>
          <t>Замер на CPU; GPU не измерялся</t>
        </is>
      </c>
      <c r="F13" s="9" t="inlineStr">
        <is>
          <t>ADR-300; Capacity_Report</t>
        </is>
      </c>
    </row>
    <row r="14" ht="60" customHeight="1">
      <c r="A14" s="50" t="n">
        <v>10</v>
      </c>
      <c r="B14" s="11" t="inlineStr">
        <is>
          <t>Векторная база (Qdrant)</t>
        </is>
      </c>
      <c r="C14" s="9" t="inlineStr">
        <is>
          <t>Размер базы знаний</t>
        </is>
      </c>
      <c r="D14" s="9" t="inlineStr">
        <is>
          <t>Несколько тысяч документов (3 000–5 000), 30 000–100 000 векторов размерности 1 024, ≈0,15–0,5 ГБ на диске (замер: 100 000 векторов — 477 МБ, ОЗУ 527 МиБ). От числа абонентов не зависит. Поиск на 100 000 векторов: P99 65 мс без фильтра, 37 мс с фильтром (замер).</t>
        </is>
      </c>
      <c r="E14" s="9" t="inlineStr">
        <is>
          <t>Допущение объёма; замер поиска</t>
        </is>
      </c>
      <c r="F14" s="9" t="inlineStr">
        <is>
          <t>ADR-200</t>
        </is>
      </c>
    </row>
    <row r="15" ht="105" customHeight="1">
      <c r="A15" s="50" t="n">
        <v>11</v>
      </c>
      <c r="B15" s="11" t="inlineStr">
        <is>
          <t>Данные абонента (чтение из Биллинга и Диспетчерской)</t>
        </is>
      </c>
      <c r="C15" s="9" t="inlineStr">
        <is>
          <t>Число вопросов</t>
        </is>
      </c>
      <c r="D15" s="9" t="inlineStr">
        <is>
          <t>Данные не хранятся: читаются из систем в момент вопроса (решение 25 сентября 2026). Верхняя оценка нагрузки на каждую систему — один вызов на вопрос, то есть до 0,058 вызова/с на MVP и 0,656 на тираже в максимуме прогноза (по пути ответа вызовов может быть меньше; доля вопросов, которым нужны данные абонента, не измерена). Скорость и лимиты API владельца неизвестны. Кэш в Redis — только после замера, объём не оценивался.</t>
        </is>
      </c>
      <c r="E15" s="9" t="inlineStr">
        <is>
          <t>Допущение; замер API не проводился</t>
        </is>
      </c>
      <c r="F15" s="9" t="inlineStr">
        <is>
          <t>ADR-200; ADR-600</t>
        </is>
      </c>
    </row>
    <row r="16" ht="45" customHeight="1">
      <c r="A16" s="50" t="n">
        <v>12</v>
      </c>
      <c r="B16" s="11" t="inlineStr">
        <is>
          <t>Redis (квоты, состояние диалога)</t>
        </is>
      </c>
      <c r="C16" s="9" t="inlineStr">
        <is>
          <t>Одновременные сессии и счётчики</t>
        </is>
      </c>
      <c r="D16" s="9" t="inlineStr">
        <is>
          <t>Замер: ключ квоты ≈0,5 КБ, сессия ≈0,8 КБ на ход, срок жизни 30 минут; до 1 200 одновременных сессий ≈4 МБ. Выбрано: 1 экземпляр на MVP, 2 на тираже, 0,25 ГиБ (лист «Sizing»).</t>
        </is>
      </c>
      <c r="E16" s="9" t="inlineStr">
        <is>
          <t>Замер; экземпляры выбраны</t>
        </is>
      </c>
      <c r="F16" s="9" t="inlineStr">
        <is>
          <t>app/config.py; Capacity_Report</t>
        </is>
      </c>
    </row>
    <row r="17" ht="120" customHeight="1">
      <c r="A17" s="50" t="n">
        <v>13</v>
      </c>
      <c r="B17" s="11" t="inlineStr">
        <is>
          <t>Postgres (обращения, слепки, события, телеметрия)</t>
        </is>
      </c>
      <c r="C17" s="9" t="inlineStr">
        <is>
          <t>Диалоги, обращения, события</t>
        </is>
      </c>
      <c r="D17" s="9" t="inlineStr">
        <is>
          <t>События использования: 6 048–352 800 строк в год на MVP и 68 040–3,97 млн на тираже (≈2–109 МБ и 21 МБ–1,2 ГБ в год; замер 2 млн строк — 589 МБ). Журнал диалогов при сроке хранения 90 суток (выбрано) — до 0,08 ГБ на MVP и 0,94 ГБ на тираже (4 КБ на диалог, максимум прогноза). Подробные события хранятся 12 месяцев (замер: 12 млн строк дают агрегат по всей таблице 39 с). Итого до 0,4 ГБ на MVP и до 4 ГБ на тираже, том 20 и 50 ГиБ (лист «Sizing»). Число обращений в месяц принято равным диалогам с записью.</t>
        </is>
      </c>
      <c r="E17" s="9" t="inlineStr">
        <is>
          <t>Расчёт и замер; срок хранения выбран</t>
        </is>
      </c>
      <c r="F17" s="9" t="inlineStr">
        <is>
          <t>ADR-200; Sizing</t>
        </is>
      </c>
    </row>
    <row r="18" ht="30" customHeight="1">
      <c r="A18" s="50" t="n">
        <v>14</v>
      </c>
      <c r="B18" s="11" t="inlineStr">
        <is>
          <t>Индексация базы знаний (ETL)</t>
        </is>
      </c>
      <c r="C18" s="9" t="inlineStr">
        <is>
          <t>Число частей и окно 02:00–05:00</t>
        </is>
      </c>
      <c r="D18" s="9" t="inlineStr">
        <is>
          <t>30 000–100 000 частей. На CPU e5-small ≈14–46 мин, BGE-M3 ≈2,7–9,6 ч; на GPU не измерялось.</t>
        </is>
      </c>
      <c r="E18" s="9" t="inlineStr">
        <is>
          <t>Расчёт по замеру на CPU</t>
        </is>
      </c>
      <c r="F18" s="9" t="inlineStr">
        <is>
          <t>ADR-200</t>
        </is>
      </c>
    </row>
    <row r="19" ht="75" customHeight="1">
      <c r="A19" s="50" t="n">
        <v>15</v>
      </c>
      <c r="B19" s="11" t="inlineStr">
        <is>
          <t>Агент записи, Billing Adapter, Сервис обращений, Document Generator (Этап 2)</t>
        </is>
      </c>
      <c r="C19" s="9" t="inlineStr">
        <is>
          <t>Доля диалогов с записью</t>
        </is>
      </c>
      <c r="D19" s="9" t="inlineStr">
        <is>
          <t>Допущение A6: 15–40% диалогов ведут к записи — до 2 800 диалогов в месяц на MVP и 31 500 на тираже; надбавка токенов до ≈56 и ≈630 млн в месяц. Хранилище готовых документов (MinIO): ≈200 КБ на бланк (допущение) — до 6,7 ГБ в год на MVP и 76 ГБ в год на тираже; том MinIO 100 и 400 ГиБ с копиями и документами базы знаний (лист «Sizing»).</t>
        </is>
      </c>
      <c r="E19" s="9" t="inlineStr">
        <is>
          <t>Допущение; выбрано и посчитано</t>
        </is>
      </c>
      <c r="F19" s="9" t="inlineStr">
        <is>
          <t>Capacity_Report, раздел 8.5</t>
        </is>
      </c>
    </row>
    <row r="20" ht="105" customHeight="1">
      <c r="A20" s="50" t="n">
        <v>16</v>
      </c>
      <c r="B20" s="11" t="inlineStr">
        <is>
          <t>Оркестрация (Kubernetes), узлы</t>
        </is>
      </c>
      <c r="C20" s="9" t="inlineStr">
        <is>
          <t>Число и размер узлов</t>
        </is>
      </c>
      <c r="D20" s="9" t="inlineStr">
        <is>
          <t>Расчёт по выбранным допущениям (лист «Sizing», базовый вариант без GPU: в кластере владельца GPU нет): MVP — 6 узлов (4 общих 8 vCPU/16 ГиБ, 2 данных 8 vCPU/32 ГиБ), тираж — 7 (+1 узел под собственную модель с A100 80 ГБ). Вариант с GPU-узлом: 6 и 8 узлов (3 общих, 2 данных, 1 GPU; на тираже ещё узел под модель). Диск под тома ≈170 ГиБ на MVP и ≈661 ГиБ на тираже. Расчёт для отдельного кластера — верхняя оценка для общего. Стоимость серверов не оценена.</t>
        </is>
      </c>
      <c r="E20" s="9" t="inlineStr">
        <is>
          <t>Расчёт по допущениям</t>
        </is>
      </c>
      <c r="F20" s="9" t="inlineStr">
        <is>
          <t>Sizing; C4_Deployment</t>
        </is>
      </c>
    </row>
    <row r="21" ht="75" customHeight="1">
      <c r="A21" s="50" t="n">
        <v>17</v>
      </c>
      <c r="B21" s="11" t="inlineStr">
        <is>
          <t>Наблюдаемость</t>
        </is>
      </c>
      <c r="C21" s="9" t="inlineStr">
        <is>
          <t>Метрики и логи</t>
        </is>
      </c>
      <c r="D21" s="9" t="inlineStr">
        <is>
          <t>Loki: сейчас ≈65 байт на вопрос (замер) — до 31 МБ за 30 суток на тираже; целевая трассировка до 10 КБ на вопрос (допущение) — 0,02–0,42 ГБ на MVP и 0,19–4,7 ГБ на тираже. Prometheus: 84 ряда на процесс приложения (замер), до 20 000 рядов с метриками кластера (допущение), хранение 15 суток ≈2,6 ГБ; том 10 ГиБ (лист «Sizing»).</t>
        </is>
      </c>
      <c r="E21" s="9" t="inlineStr">
        <is>
          <t>Допущение и замер</t>
        </is>
      </c>
      <c r="F21" s="9" t="inlineStr">
        <is>
          <t>Capacity_Report, раздел 6</t>
        </is>
      </c>
    </row>
    <row r="22" ht="30" customHeight="1">
      <c r="A22" s="50" t="n">
        <v>18</v>
      </c>
      <c r="B22" s="11" t="inlineStr">
        <is>
          <t>Секреты (GitLab CI variables, Kubernetes Secret)</t>
        </is>
      </c>
      <c r="C22" s="9" t="inlineStr">
        <is>
          <t>—</t>
        </is>
      </c>
      <c r="D22" s="9" t="inlineStr">
        <is>
          <t>Объёма нет.</t>
        </is>
      </c>
      <c r="E22" s="9" t="inlineStr">
        <is>
          <t>Не применимо</t>
        </is>
      </c>
      <c r="F22" s="9" t="inlineStr">
        <is>
          <t>ADR-400</t>
        </is>
      </c>
    </row>
  </sheetData>
  <mergeCells count="1">
    <mergeCell ref="A2:F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V46"/>
  <sheetViews>
    <sheetView showGridLines="0" workbookViewId="0">
      <pane xSplit="3" ySplit="15" topLeftCell="D16"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46" customWidth="1" min="3" max="3"/>
    <col width="8" customWidth="1" min="4" max="4"/>
    <col width="9" customWidth="1" min="5" max="5"/>
    <col width="10" customWidth="1" min="6" max="6"/>
    <col width="10" customWidth="1" min="7" max="7"/>
    <col width="11" customWidth="1" min="8" max="8"/>
    <col width="9" customWidth="1" min="9" max="9"/>
    <col width="10" customWidth="1" min="10" max="10"/>
    <col width="10" customWidth="1" min="11" max="11"/>
    <col width="11" customWidth="1" min="12" max="12"/>
    <col width="8" customWidth="1" min="13" max="13"/>
    <col width="9" customWidth="1" min="14" max="14"/>
    <col width="10" customWidth="1" min="15" max="15"/>
    <col width="10" customWidth="1" min="16" max="16"/>
    <col width="11" customWidth="1" min="17" max="17"/>
    <col width="9" customWidth="1" min="18" max="18"/>
    <col width="10" customWidth="1" min="19" max="19"/>
    <col width="10" customWidth="1" min="20" max="20"/>
    <col width="11" customWidth="1" min="21" max="21"/>
    <col width="90" customWidth="1" min="22" max="22"/>
  </cols>
  <sheetData>
    <row r="1">
      <c r="A1" s="32" t="inlineStr">
        <is>
          <t>Расчётный sizing по компонентам (допущения, не результат нагрузочного теста)</t>
        </is>
      </c>
    </row>
    <row r="2">
      <c r="A2" s="33" t="inlineStr">
        <is>
          <t>Синие ячейки — входные допущения, их можно менять; итоги и число узлов пересчитываются. Основание — в последней колонке.</t>
        </is>
      </c>
    </row>
    <row r="3" ht="32" customHeight="1">
      <c r="B3" s="11" t="inlineStr">
        <is>
          <t>Расчётная нагрузка</t>
        </is>
      </c>
      <c r="C3" s="9" t="inlineStr">
        <is>
          <t>Расчётный пик — 0,1 запроса/с на MVP и 1 запрос/с на тираже; это выше максимума прогноза `Capacity_Report.html` (0,058 и 0,656 запроса/с), одновременно до 0,17 и 1,97 запроса (время ответа 3 с). До модели доходит 70% запросов (максимум прогноза).</t>
        </is>
      </c>
    </row>
    <row r="4" ht="32" customHeight="1">
      <c r="B4" s="11" t="inlineStr">
        <is>
          <t>CPU на запрос</t>
        </is>
      </c>
      <c r="C4" s="9" t="inlineStr">
        <is>
          <t>Путь без модели — 8,5 мс на запрос (замер: один процесс отдаёт 117 запросов/с). Путь с моделью — 0,9 с на ответ в 800 знаков (эмбеддинг 36 мс + обезличивание + проверка ответа на потоке 0,3–0,9 с; на ответе в 2 000 знаков 1,4–4,5 с, замер). При максимуме прогноза (0,46 запроса/с к модели на тираже) это ≈0,41 ядра; на ответах в 2 000 знаков — до 2,1 ядра.</t>
        </is>
      </c>
    </row>
    <row r="5" ht="32" customHeight="1">
      <c r="B5" s="11" t="inlineStr">
        <is>
          <t>Память</t>
        </is>
      </c>
      <c r="C5" s="9" t="inlineStr">
        <is>
          <t>Замер: обезличиватель (Presidio + spaCy `ru_core_news_md`) — 769 МиБ, эмбеддер e5-small — ещё 300 МиБ, контейнер Backend целиком — 1,32 ГиБ. На MVP эмбеддер уходит в отдельный сервис, обезличиватель остаётся в шлюзе.</t>
        </is>
      </c>
    </row>
    <row r="6" ht="32" customHeight="1">
      <c r="B6" s="11" t="inlineStr">
        <is>
          <t>Данные</t>
        </is>
      </c>
      <c r="C6" s="9" t="inlineStr">
        <is>
          <t>Ключ квоты в Redis — 72 байта, с накладными ≈0,5 КБ (замер). Сессия диалога — 1,6 КБ на два хода, ≈0,8 КБ на ход (замер), живёт 30 минут. Диалог — 4 хода ≈ 4 КБ с метаданными (допущение A3 = 4). Срок хранения журнала диалогов принят 90 суток (требование ИБ неизвестно). Строка телеметрии — 308 байт с индексами (замер).</t>
        </is>
      </c>
    </row>
    <row r="7" ht="32" customHeight="1">
      <c r="B7" s="11" t="inlineStr">
        <is>
          <t>Отказоустойчивость</t>
        </is>
      </c>
      <c r="C7" s="9" t="inlineStr">
        <is>
          <t>Минимум 2 реплики у stateless-сервисов; у хранилищ — 1 экземпляр на MVP с ежедневной копией и 2 экземпляра на тираже. Узлов на один больше, чем нужно по запросам (N+1); GPU-узел один, потеря узла = отказ поиска до восстановления.</t>
        </is>
      </c>
    </row>
    <row r="8" ht="32" customHeight="1">
      <c r="B8" s="11" t="inlineStr">
        <is>
          <t>Секреты</t>
        </is>
      </c>
      <c r="C8" s="9" t="inlineStr">
        <is>
          <t>Vault в расчёт не входит: целевой механизм — GitLab CI variables и Kubernetes Secret, отдельных подов нет (ADR-400). Если владелец выберет Vault, понадобится под Vault (допущение: 0,25 vCPU, 0,25 ГиБ, диск 1 ГиБ) и инжектор секретов.</t>
        </is>
      </c>
    </row>
    <row r="9" ht="32" customHeight="1">
      <c r="B9" s="11" t="inlineStr">
        <is>
          <t>Наблюдаемость</t>
        </is>
      </c>
      <c r="C9" s="9" t="inlineStr">
        <is>
          <t>В реальном контуре работают Grafana, Zabbix и Jaeger (решение заказчика проекта, со слов); алерты не настроены. Grafana и Alertmanager в расчёт не входят. Prometheus (запасной источник для задержки P99) и Loki (как собираются логи, неизвестно) оставлены как верхняя оценка до ответа владельца.</t>
        </is>
      </c>
    </row>
    <row r="10" ht="32" customHeight="1">
      <c r="B10" s="11" t="inlineStr">
        <is>
          <t>GPU в кластере</t>
        </is>
      </c>
      <c r="C10" s="9" t="inlineStr">
        <is>
          <t>В кластере владельца, где уже работает личный кабинет, GPU-узлов нет (со слов заказчика проекта). Базовый вариант расчёта — **без GPU**: эмбеддинги `multilingual-e5-small` на CPU (36–37 мс на запрос, замер), реранкер выключен (на CPU 7,2 с), индексация считает эмбеддинги на CPU. Вариант **с GPU** — покупка и подключение узла к кластеру: владелец решит только после проверки на реальных данных (цена не оценена); переключатель на листе «Sizing».</t>
        </is>
      </c>
    </row>
    <row r="11" ht="32" customHeight="1">
      <c r="B11" s="11" t="inlineStr">
        <is>
          <t>Узлы</t>
        </is>
      </c>
      <c r="C11" s="9" t="inlineStr">
        <is>
          <t>Загрузка узла по запросам не выше 70%. Класс узлов: общий — 8 vCPU / 16 ГиБ; данных — 8 vCPU / 32 ГиБ с NVMe; GPU — 8 vCPU / 32 ГиБ и видеокарта 24 ГБ; LLM (тираж) — 16 vCPU / 128 ГиБ и A100 80 ГБ.</t>
        </is>
      </c>
    </row>
    <row r="12">
      <c r="B12" s="11" t="inlineStr">
        <is>
          <t>GPU-узел в кластере (1 — есть, 0 — нет)</t>
        </is>
      </c>
      <c r="C12" s="51" t="n">
        <v>0</v>
      </c>
    </row>
    <row r="14">
      <c r="D14" s="52" t="inlineStr">
        <is>
          <t>MVP</t>
        </is>
      </c>
      <c r="M14" s="52" t="inlineStr">
        <is>
          <t>Тираж</t>
        </is>
      </c>
    </row>
    <row r="15">
      <c r="A15" s="5" t="inlineStr">
        <is>
          <t>№</t>
        </is>
      </c>
      <c r="B15" s="5" t="inlineStr">
        <is>
          <t>Пул</t>
        </is>
      </c>
      <c r="C15" s="5" t="inlineStr">
        <is>
          <t>Компонент</t>
        </is>
      </c>
      <c r="D15" s="5" t="inlineStr">
        <is>
          <t>Реплик</t>
        </is>
      </c>
      <c r="E15" s="5" t="inlineStr">
        <is>
          <t>vCPU на под</t>
        </is>
      </c>
      <c r="F15" s="5" t="inlineStr">
        <is>
          <t>ОЗУ, ГиБ на под</t>
        </is>
      </c>
      <c r="G15" s="5" t="inlineStr">
        <is>
          <t>Диск, ГиБ на под</t>
        </is>
      </c>
      <c r="H15" s="5" t="inlineStr">
        <is>
          <t>Видеопамять, ГиБ на под</t>
        </is>
      </c>
      <c r="I15" s="5" t="inlineStr">
        <is>
          <t>vCPU всего</t>
        </is>
      </c>
      <c r="J15" s="5" t="inlineStr">
        <is>
          <t>ОЗУ всего, ГиБ</t>
        </is>
      </c>
      <c r="K15" s="5" t="inlineStr">
        <is>
          <t>Диск всего, ГиБ</t>
        </is>
      </c>
      <c r="L15" s="5" t="inlineStr">
        <is>
          <t>Видеопамять всего, ГиБ</t>
        </is>
      </c>
      <c r="M15" s="5" t="inlineStr">
        <is>
          <t>Реплик</t>
        </is>
      </c>
      <c r="N15" s="5" t="inlineStr">
        <is>
          <t>vCPU на под</t>
        </is>
      </c>
      <c r="O15" s="5" t="inlineStr">
        <is>
          <t>ОЗУ, ГиБ на под</t>
        </is>
      </c>
      <c r="P15" s="5" t="inlineStr">
        <is>
          <t>Диск, ГиБ на под</t>
        </is>
      </c>
      <c r="Q15" s="5" t="inlineStr">
        <is>
          <t>Видеопамять, ГиБ на под</t>
        </is>
      </c>
      <c r="R15" s="5" t="inlineStr">
        <is>
          <t>vCPU всего</t>
        </is>
      </c>
      <c r="S15" s="5" t="inlineStr">
        <is>
          <t>ОЗУ всего, ГиБ</t>
        </is>
      </c>
      <c r="T15" s="5" t="inlineStr">
        <is>
          <t>Диск всего, ГиБ</t>
        </is>
      </c>
      <c r="U15" s="5" t="inlineStr">
        <is>
          <t>Видеопамять всего, ГиБ</t>
        </is>
      </c>
      <c r="V15" s="5" t="inlineStr">
        <is>
          <t>Основание</t>
        </is>
      </c>
    </row>
    <row r="16" ht="30" customHeight="1">
      <c r="A16" s="50" t="n">
        <v>1</v>
      </c>
      <c r="B16" s="9" t="inlineStr">
        <is>
          <t>general</t>
        </is>
      </c>
      <c r="C16" s="11" t="inlineStr">
        <is>
          <t>Ingress (nginx)</t>
        </is>
      </c>
      <c r="D16" s="51" t="n">
        <v>2</v>
      </c>
      <c r="E16" s="51" t="n">
        <v>0.25</v>
      </c>
      <c r="F16" s="51" t="n">
        <v>0.25</v>
      </c>
      <c r="G16" s="51" t="n">
        <v>0</v>
      </c>
      <c r="H16" s="51" t="n">
        <v>0</v>
      </c>
      <c r="I16" s="53">
        <f>D16*E16</f>
        <v/>
      </c>
      <c r="J16" s="53">
        <f>D16*F16</f>
        <v/>
      </c>
      <c r="K16" s="53">
        <f>D16*G16</f>
        <v/>
      </c>
      <c r="L16" s="53">
        <f>D16*H16</f>
        <v/>
      </c>
      <c r="M16" s="51" t="n">
        <v>2</v>
      </c>
      <c r="N16" s="51" t="n">
        <v>0.25</v>
      </c>
      <c r="O16" s="51" t="n">
        <v>0.25</v>
      </c>
      <c r="P16" s="51" t="n">
        <v>0</v>
      </c>
      <c r="Q16" s="51" t="n">
        <v>0</v>
      </c>
      <c r="R16" s="53">
        <f>M16*N16</f>
        <v/>
      </c>
      <c r="S16" s="53">
        <f>M16*O16</f>
        <v/>
      </c>
      <c r="T16" s="53">
        <f>M16*P16</f>
        <v/>
      </c>
      <c r="U16" s="53">
        <f>M16*Q16</f>
        <v/>
      </c>
      <c r="V16" s="9" t="inlineStr">
        <is>
          <t>Допущение. Внешний трафик — единицы запросов в секунду.</t>
        </is>
      </c>
    </row>
    <row r="17" ht="30" customHeight="1">
      <c r="A17" s="50" t="n">
        <v>2</v>
      </c>
      <c r="B17" s="9" t="inlineStr">
        <is>
          <t>general</t>
        </is>
      </c>
      <c r="C17" s="11" t="inlineStr">
        <is>
          <t>AI-виджет (статические файлы)</t>
        </is>
      </c>
      <c r="D17" s="51" t="n">
        <v>2</v>
      </c>
      <c r="E17" s="51" t="n">
        <v>0.1</v>
      </c>
      <c r="F17" s="51" t="n">
        <v>0.1</v>
      </c>
      <c r="G17" s="51" t="n">
        <v>0</v>
      </c>
      <c r="H17" s="51" t="n">
        <v>0</v>
      </c>
      <c r="I17" s="53">
        <f>D17*E17</f>
        <v/>
      </c>
      <c r="J17" s="53">
        <f>D17*F17</f>
        <v/>
      </c>
      <c r="K17" s="53">
        <f>D17*G17</f>
        <v/>
      </c>
      <c r="L17" s="53">
        <f>D17*H17</f>
        <v/>
      </c>
      <c r="M17" s="51" t="n">
        <v>2</v>
      </c>
      <c r="N17" s="51" t="n">
        <v>0.1</v>
      </c>
      <c r="O17" s="51" t="n">
        <v>0.1</v>
      </c>
      <c r="P17" s="51" t="n">
        <v>0</v>
      </c>
      <c r="Q17" s="51" t="n">
        <v>0</v>
      </c>
      <c r="R17" s="53">
        <f>M17*N17</f>
        <v/>
      </c>
      <c r="S17" s="53">
        <f>M17*O17</f>
        <v/>
      </c>
      <c r="T17" s="53">
        <f>M17*P17</f>
        <v/>
      </c>
      <c r="U17" s="53">
        <f>M17*Q17</f>
        <v/>
      </c>
      <c r="V17" s="9" t="inlineStr">
        <is>
          <t>Допущение. На стенде три статических файла.</t>
        </is>
      </c>
    </row>
    <row r="18" ht="30" customHeight="1">
      <c r="A18" s="50" t="n">
        <v>3</v>
      </c>
      <c r="B18" s="9" t="inlineStr">
        <is>
          <t>general</t>
        </is>
      </c>
      <c r="C18" s="11" t="inlineStr">
        <is>
          <t>Backend (API, классификация, поиск, сборка ответа)</t>
        </is>
      </c>
      <c r="D18" s="51" t="n">
        <v>2</v>
      </c>
      <c r="E18" s="51" t="n">
        <v>0.5</v>
      </c>
      <c r="F18" s="51" t="n">
        <v>0.5</v>
      </c>
      <c r="G18" s="51" t="n">
        <v>0</v>
      </c>
      <c r="H18" s="51" t="n">
        <v>0</v>
      </c>
      <c r="I18" s="53">
        <f>D18*E18</f>
        <v/>
      </c>
      <c r="J18" s="53">
        <f>D18*F18</f>
        <v/>
      </c>
      <c r="K18" s="53">
        <f>D18*G18</f>
        <v/>
      </c>
      <c r="L18" s="53">
        <f>D18*H18</f>
        <v/>
      </c>
      <c r="M18" s="51" t="n">
        <v>3</v>
      </c>
      <c r="N18" s="51" t="n">
        <v>1</v>
      </c>
      <c r="O18" s="51" t="n">
        <v>1</v>
      </c>
      <c r="P18" s="51" t="n">
        <v>0</v>
      </c>
      <c r="Q18" s="51" t="n">
        <v>0</v>
      </c>
      <c r="R18" s="53">
        <f>M18*N18</f>
        <v/>
      </c>
      <c r="S18" s="53">
        <f>M18*O18</f>
        <v/>
      </c>
      <c r="T18" s="53">
        <f>M18*P18</f>
        <v/>
      </c>
      <c r="U18" s="53">
        <f>M18*Q18</f>
        <v/>
      </c>
      <c r="V18" s="9" t="inlineStr">
        <is>
          <t>Замер: путь без модели — 117 запросов/с на процесс (8,5 мс CPU). 2 реплики нужны для отказоустойчивости, а не для пропускной способности; ОЗУ — допущение (эмбеддер и обезличиватель вынесены).</t>
        </is>
      </c>
    </row>
    <row r="19" ht="45" customHeight="1">
      <c r="A19" s="50" t="n">
        <v>4</v>
      </c>
      <c r="B19" s="9" t="inlineStr">
        <is>
          <t>general</t>
        </is>
      </c>
      <c r="C19" s="11" t="inlineStr">
        <is>
          <t>LLM Gateway (лимиты, обезличивание, проверка ответа)</t>
        </is>
      </c>
      <c r="D19" s="51" t="n">
        <v>2</v>
      </c>
      <c r="E19" s="51" t="n">
        <v>0.5</v>
      </c>
      <c r="F19" s="51" t="n">
        <v>1.5</v>
      </c>
      <c r="G19" s="51" t="n">
        <v>0</v>
      </c>
      <c r="H19" s="51" t="n">
        <v>0</v>
      </c>
      <c r="I19" s="53">
        <f>D19*E19</f>
        <v/>
      </c>
      <c r="J19" s="53">
        <f>D19*F19</f>
        <v/>
      </c>
      <c r="K19" s="53">
        <f>D19*G19</f>
        <v/>
      </c>
      <c r="L19" s="53">
        <f>D19*H19</f>
        <v/>
      </c>
      <c r="M19" s="51" t="n">
        <v>3</v>
      </c>
      <c r="N19" s="51" t="n">
        <v>1</v>
      </c>
      <c r="O19" s="51" t="n">
        <v>1.5</v>
      </c>
      <c r="P19" s="51" t="n">
        <v>0</v>
      </c>
      <c r="Q19" s="51" t="n">
        <v>0</v>
      </c>
      <c r="R19" s="53">
        <f>M19*N19</f>
        <v/>
      </c>
      <c r="S19" s="53">
        <f>M19*O19</f>
        <v/>
      </c>
      <c r="T19" s="53">
        <f>M19*P19</f>
        <v/>
      </c>
      <c r="U19" s="53">
        <f>M19*Q19</f>
        <v/>
      </c>
      <c r="V19" s="9" t="inlineStr">
        <is>
          <t>Замер ОЗУ: обезличиватель 769 МиБ. CPU: 0,9 с на ответ в 800 знаков — 0,04 ядра на MVP, 0,41 на тираже (максимум прогноза); на ответах в 2 000 знаков до 2,1 ядра (3 реплики × 1 vCPU + предел 2). После оптимизации проверки на потоке запас вырастет.</t>
        </is>
      </c>
    </row>
    <row r="20" ht="30" customHeight="1">
      <c r="A20" s="50" t="n">
        <v>5</v>
      </c>
      <c r="B20" s="9" t="inlineStr">
        <is>
          <t>general</t>
        </is>
      </c>
      <c r="C20" s="11" t="inlineStr">
        <is>
          <t>Billing Adapter, оркестратор записи (Этап 2)</t>
        </is>
      </c>
      <c r="D20" s="51" t="n">
        <v>2</v>
      </c>
      <c r="E20" s="51" t="n">
        <v>0.25</v>
      </c>
      <c r="F20" s="51" t="n">
        <v>0.25</v>
      </c>
      <c r="G20" s="51" t="n">
        <v>0</v>
      </c>
      <c r="H20" s="51" t="n">
        <v>0</v>
      </c>
      <c r="I20" s="53">
        <f>D20*E20</f>
        <v/>
      </c>
      <c r="J20" s="53">
        <f>D20*F20</f>
        <v/>
      </c>
      <c r="K20" s="53">
        <f>D20*G20</f>
        <v/>
      </c>
      <c r="L20" s="53">
        <f>D20*H20</f>
        <v/>
      </c>
      <c r="M20" s="51" t="n">
        <v>2</v>
      </c>
      <c r="N20" s="51" t="n">
        <v>0.25</v>
      </c>
      <c r="O20" s="51" t="n">
        <v>0.25</v>
      </c>
      <c r="P20" s="51" t="n">
        <v>0</v>
      </c>
      <c r="Q20" s="51" t="n">
        <v>0</v>
      </c>
      <c r="R20" s="53">
        <f>M20*N20</f>
        <v/>
      </c>
      <c r="S20" s="53">
        <f>M20*O20</f>
        <v/>
      </c>
      <c r="T20" s="53">
        <f>M20*P20</f>
        <v/>
      </c>
      <c r="U20" s="53">
        <f>M20*Q20</f>
        <v/>
      </c>
      <c r="V20" s="9" t="inlineStr">
        <is>
          <t>Допущение. До 2 800 диалогов с записью в месяц на MVP и 31 500 на тираже (максимум прогноза, A6 = 40%) — нагрузка ничтожна.</t>
        </is>
      </c>
    </row>
    <row r="21" ht="30" customHeight="1">
      <c r="A21" s="50" t="n">
        <v>6</v>
      </c>
      <c r="B21" s="9" t="inlineStr">
        <is>
          <t>general</t>
        </is>
      </c>
      <c r="C21" s="11" t="inlineStr">
        <is>
          <t>Inquiry Service (маршрутизация обращений, Этап 2)</t>
        </is>
      </c>
      <c r="D21" s="51" t="n">
        <v>2</v>
      </c>
      <c r="E21" s="51" t="n">
        <v>0.25</v>
      </c>
      <c r="F21" s="51" t="n">
        <v>0.5</v>
      </c>
      <c r="G21" s="51" t="n">
        <v>0</v>
      </c>
      <c r="H21" s="51" t="n">
        <v>0</v>
      </c>
      <c r="I21" s="53">
        <f>D21*E21</f>
        <v/>
      </c>
      <c r="J21" s="53">
        <f>D21*F21</f>
        <v/>
      </c>
      <c r="K21" s="53">
        <f>D21*G21</f>
        <v/>
      </c>
      <c r="L21" s="53">
        <f>D21*H21</f>
        <v/>
      </c>
      <c r="M21" s="51" t="n">
        <v>2</v>
      </c>
      <c r="N21" s="51" t="n">
        <v>0.25</v>
      </c>
      <c r="O21" s="51" t="n">
        <v>0.5</v>
      </c>
      <c r="P21" s="51" t="n">
        <v>0</v>
      </c>
      <c r="Q21" s="51" t="n">
        <v>0</v>
      </c>
      <c r="R21" s="53">
        <f>M21*N21</f>
        <v/>
      </c>
      <c r="S21" s="53">
        <f>M21*O21</f>
        <v/>
      </c>
      <c r="T21" s="53">
        <f>M21*P21</f>
        <v/>
      </c>
      <c r="U21" s="53">
        <f>M21*Q21</f>
        <v/>
      </c>
      <c r="V21" s="9" t="inlineStr">
        <is>
          <t>Допущение автора, не измерялось. Маршрутизация обращений в микросервис обращений и Диспетчерскую; до 2 800 диалогов с записью в месяц на MVP — нагрузка ничтожна.</t>
        </is>
      </c>
    </row>
    <row r="22" ht="30" customHeight="1">
      <c r="A22" s="50" t="n">
        <v>7</v>
      </c>
      <c r="B22" s="9" t="inlineStr">
        <is>
          <t>general</t>
        </is>
      </c>
      <c r="C22" s="11" t="inlineStr">
        <is>
          <t>Document Generator (PDF, Этап 2)</t>
        </is>
      </c>
      <c r="D22" s="51" t="n">
        <v>1</v>
      </c>
      <c r="E22" s="51" t="n">
        <v>0.5</v>
      </c>
      <c r="F22" s="51" t="n">
        <v>1</v>
      </c>
      <c r="G22" s="51" t="n">
        <v>0</v>
      </c>
      <c r="H22" s="51" t="n">
        <v>0</v>
      </c>
      <c r="I22" s="53">
        <f>D22*E22</f>
        <v/>
      </c>
      <c r="J22" s="53">
        <f>D22*F22</f>
        <v/>
      </c>
      <c r="K22" s="53">
        <f>D22*G22</f>
        <v/>
      </c>
      <c r="L22" s="53">
        <f>D22*H22</f>
        <v/>
      </c>
      <c r="M22" s="51" t="n">
        <v>2</v>
      </c>
      <c r="N22" s="51" t="n">
        <v>0.5</v>
      </c>
      <c r="O22" s="51" t="n">
        <v>1</v>
      </c>
      <c r="P22" s="51" t="n">
        <v>0</v>
      </c>
      <c r="Q22" s="51" t="n">
        <v>0</v>
      </c>
      <c r="R22" s="53">
        <f>M22*N22</f>
        <v/>
      </c>
      <c r="S22" s="53">
        <f>M22*O22</f>
        <v/>
      </c>
      <c r="T22" s="53">
        <f>M22*P22</f>
        <v/>
      </c>
      <c r="U22" s="53">
        <f>M22*Q22</f>
        <v/>
      </c>
      <c r="V22" s="9" t="inlineStr">
        <is>
          <t>Допущение. Библиотека PDF не выбрана; ≈1 бланк на диалог с записью (до 31 500 в месяц на тираже).</t>
        </is>
      </c>
    </row>
    <row r="23" ht="30" customHeight="1">
      <c r="A23" s="50" t="n">
        <v>8</v>
      </c>
      <c r="B23" s="9" t="inlineStr">
        <is>
          <t>general</t>
        </is>
      </c>
      <c r="C23" s="11" t="inlineStr">
        <is>
          <t>ETL индексации (CronJob, окно 02:00–05:00) [вариант с GPU]</t>
        </is>
      </c>
      <c r="D23" s="51">
        <f>1*$C$12</f>
        <v/>
      </c>
      <c r="E23" s="51" t="n">
        <v>1</v>
      </c>
      <c r="F23" s="51" t="n">
        <v>2</v>
      </c>
      <c r="G23" s="51" t="n">
        <v>5</v>
      </c>
      <c r="H23" s="51" t="n">
        <v>0</v>
      </c>
      <c r="I23" s="53">
        <f>D23*E23</f>
        <v/>
      </c>
      <c r="J23" s="53">
        <f>D23*F23</f>
        <v/>
      </c>
      <c r="K23" s="53">
        <f>D23*G23</f>
        <v/>
      </c>
      <c r="L23" s="53">
        <f>D23*H23</f>
        <v/>
      </c>
      <c r="M23" s="51">
        <f>1*$C$12</f>
        <v/>
      </c>
      <c r="N23" s="51" t="n">
        <v>1</v>
      </c>
      <c r="O23" s="51" t="n">
        <v>2</v>
      </c>
      <c r="P23" s="51" t="n">
        <v>5</v>
      </c>
      <c r="Q23" s="51" t="n">
        <v>0</v>
      </c>
      <c r="R23" s="53">
        <f>M23*N23</f>
        <v/>
      </c>
      <c r="S23" s="53">
        <f>M23*O23</f>
        <v/>
      </c>
      <c r="T23" s="53">
        <f>M23*P23</f>
        <v/>
      </c>
      <c r="U23" s="53">
        <f>M23*Q23</f>
        <v/>
      </c>
      <c r="V23" s="9" t="inlineStr">
        <is>
          <t>Допущение. Эмбеддинги считает GPU-сервис; 5 ГиБ — временные файлы документов. Время индексации на GPU не измерялось.</t>
        </is>
      </c>
    </row>
    <row r="24" ht="30" customHeight="1">
      <c r="A24" s="50" t="n">
        <v>9</v>
      </c>
      <c r="B24" s="9" t="inlineStr">
        <is>
          <t>general</t>
        </is>
      </c>
      <c r="C24" s="11" t="inlineStr">
        <is>
          <t>Оценка качества (CronJob, ночной прогон)</t>
        </is>
      </c>
      <c r="D24" s="51" t="n">
        <v>1</v>
      </c>
      <c r="E24" s="51" t="n">
        <v>0.5</v>
      </c>
      <c r="F24" s="51" t="n">
        <v>1</v>
      </c>
      <c r="G24" s="51" t="n">
        <v>0</v>
      </c>
      <c r="H24" s="51" t="n">
        <v>0</v>
      </c>
      <c r="I24" s="53">
        <f>D24*E24</f>
        <v/>
      </c>
      <c r="J24" s="53">
        <f>D24*F24</f>
        <v/>
      </c>
      <c r="K24" s="53">
        <f>D24*G24</f>
        <v/>
      </c>
      <c r="L24" s="53">
        <f>D24*H24</f>
        <v/>
      </c>
      <c r="M24" s="51" t="n">
        <v>1</v>
      </c>
      <c r="N24" s="51" t="n">
        <v>0.5</v>
      </c>
      <c r="O24" s="51" t="n">
        <v>1</v>
      </c>
      <c r="P24" s="51" t="n">
        <v>0</v>
      </c>
      <c r="Q24" s="51" t="n">
        <v>0</v>
      </c>
      <c r="R24" s="53">
        <f>M24*N24</f>
        <v/>
      </c>
      <c r="S24" s="53">
        <f>M24*O24</f>
        <v/>
      </c>
      <c r="T24" s="53">
        <f>M24*P24</f>
        <v/>
      </c>
      <c r="U24" s="53">
        <f>M24*Q24</f>
        <v/>
      </c>
      <c r="V24" s="9" t="inlineStr">
        <is>
          <t>Допущение. Ходит во внешний API судьи; локальной нагрузки почти нет.</t>
        </is>
      </c>
    </row>
    <row r="25" ht="30" customHeight="1">
      <c r="A25" s="50" t="n">
        <v>10</v>
      </c>
      <c r="B25" s="9" t="inlineStr">
        <is>
          <t>general</t>
        </is>
      </c>
      <c r="C25" s="11" t="inlineStr">
        <is>
          <t>Prometheus</t>
        </is>
      </c>
      <c r="D25" s="51" t="n">
        <v>1</v>
      </c>
      <c r="E25" s="51" t="n">
        <v>0.5</v>
      </c>
      <c r="F25" s="51" t="n">
        <v>1</v>
      </c>
      <c r="G25" s="51" t="n">
        <v>10</v>
      </c>
      <c r="H25" s="51" t="n">
        <v>0</v>
      </c>
      <c r="I25" s="53">
        <f>D25*E25</f>
        <v/>
      </c>
      <c r="J25" s="53">
        <f>D25*F25</f>
        <v/>
      </c>
      <c r="K25" s="53">
        <f>D25*G25</f>
        <v/>
      </c>
      <c r="L25" s="53">
        <f>D25*H25</f>
        <v/>
      </c>
      <c r="M25" s="51" t="n">
        <v>1</v>
      </c>
      <c r="N25" s="51" t="n">
        <v>0.5</v>
      </c>
      <c r="O25" s="51" t="n">
        <v>1</v>
      </c>
      <c r="P25" s="51" t="n">
        <v>10</v>
      </c>
      <c r="Q25" s="51" t="n">
        <v>0</v>
      </c>
      <c r="R25" s="53">
        <f>M25*N25</f>
        <v/>
      </c>
      <c r="S25" s="53">
        <f>M25*O25</f>
        <v/>
      </c>
      <c r="T25" s="53">
        <f>M25*P25</f>
        <v/>
      </c>
      <c r="U25" s="53">
        <f>M25*Q25</f>
        <v/>
      </c>
      <c r="V25" s="9" t="inlineStr">
        <is>
          <t>Замер: 84 ряда на процесс приложения; допущение: до 20 000 рядов с метриками кластера, хранение 15 суток ≈2,6 ГБ.</t>
        </is>
      </c>
    </row>
    <row r="26" ht="45" customHeight="1">
      <c r="A26" s="50" t="n">
        <v>11</v>
      </c>
      <c r="B26" s="9" t="inlineStr">
        <is>
          <t>general</t>
        </is>
      </c>
      <c r="C26" s="11" t="inlineStr">
        <is>
          <t>Loki</t>
        </is>
      </c>
      <c r="D26" s="51" t="n">
        <v>1</v>
      </c>
      <c r="E26" s="51" t="n">
        <v>0.5</v>
      </c>
      <c r="F26" s="51" t="n">
        <v>1</v>
      </c>
      <c r="G26" s="51" t="n">
        <v>20</v>
      </c>
      <c r="H26" s="51" t="n">
        <v>0</v>
      </c>
      <c r="I26" s="53">
        <f>D26*E26</f>
        <v/>
      </c>
      <c r="J26" s="53">
        <f>D26*F26</f>
        <v/>
      </c>
      <c r="K26" s="53">
        <f>D26*G26</f>
        <v/>
      </c>
      <c r="L26" s="53">
        <f>D26*H26</f>
        <v/>
      </c>
      <c r="M26" s="51" t="n">
        <v>1</v>
      </c>
      <c r="N26" s="51" t="n">
        <v>0.5</v>
      </c>
      <c r="O26" s="51" t="n">
        <v>1</v>
      </c>
      <c r="P26" s="51" t="n">
        <v>20</v>
      </c>
      <c r="Q26" s="51" t="n">
        <v>0</v>
      </c>
      <c r="R26" s="53">
        <f>M26*N26</f>
        <v/>
      </c>
      <c r="S26" s="53">
        <f>M26*O26</f>
        <v/>
      </c>
      <c r="T26" s="53">
        <f>M26*P26</f>
        <v/>
      </c>
      <c r="U26" s="53">
        <f>M26*Q26</f>
        <v/>
      </c>
      <c r="V26" s="9" t="inlineStr">
        <is>
          <t>Замер: сейчас Backend пишет одну строку (≈65 байт) на вопрос — 2,7 МБ за 30 суток на MVP в максимуме и 31 МБ на тираже. Заложена целевая трассировка до 10 КБ на вопрос (допущение): 0,02–0,42 ГБ на MVP и 0,19–4,7 ГБ на тираже за 30 суток; 20 ГиБ с запасом.</t>
        </is>
      </c>
    </row>
    <row r="27" ht="60" customHeight="1">
      <c r="A27" s="50" t="n">
        <v>12</v>
      </c>
      <c r="B27" s="9" t="inlineStr">
        <is>
          <t>data</t>
        </is>
      </c>
      <c r="C27" s="11" t="inlineStr">
        <is>
          <t>Qdrant</t>
        </is>
      </c>
      <c r="D27" s="51" t="n">
        <v>1</v>
      </c>
      <c r="E27" s="51" t="n">
        <v>1</v>
      </c>
      <c r="F27" s="51" t="n">
        <v>2</v>
      </c>
      <c r="G27" s="51" t="n">
        <v>10</v>
      </c>
      <c r="H27" s="51" t="n">
        <v>0</v>
      </c>
      <c r="I27" s="53">
        <f>D27*E27</f>
        <v/>
      </c>
      <c r="J27" s="53">
        <f>D27*F27</f>
        <v/>
      </c>
      <c r="K27" s="53">
        <f>D27*G27</f>
        <v/>
      </c>
      <c r="L27" s="53">
        <f>D27*H27</f>
        <v/>
      </c>
      <c r="M27" s="51" t="n">
        <v>2</v>
      </c>
      <c r="N27" s="51" t="n">
        <v>1</v>
      </c>
      <c r="O27" s="51" t="n">
        <v>2</v>
      </c>
      <c r="P27" s="51" t="n">
        <v>10</v>
      </c>
      <c r="Q27" s="51" t="n">
        <v>0</v>
      </c>
      <c r="R27" s="53">
        <f>M27*N27</f>
        <v/>
      </c>
      <c r="S27" s="53">
        <f>M27*O27</f>
        <v/>
      </c>
      <c r="T27" s="53">
        <f>M27*P27</f>
        <v/>
      </c>
      <c r="U27" s="53">
        <f>M27*Q27</f>
        <v/>
      </c>
      <c r="V27" s="9" t="inlineStr">
        <is>
          <t>Расчёт: 30–100 тыс. векторов × 1 024 × 4 байта = 123–410 МБ. Замер: 100 000 векторов — 477 МБ на диске и 527 МиБ ОЗУ (718 МиБ при загрузке); во время blue-green две коллекции и копия — 10 ГиБ. Замер: 100 000 векторов, P99 65 мс. От числа абонентов не зависит; вторая реплика на тираже — для отказоустойчивости.</t>
        </is>
      </c>
    </row>
    <row r="28" ht="105" customHeight="1">
      <c r="A28" s="50" t="n">
        <v>13</v>
      </c>
      <c r="B28" s="9" t="inlineStr">
        <is>
          <t>data</t>
        </is>
      </c>
      <c r="C28" s="11" t="inlineStr">
        <is>
          <t>Postgres (обращения, телеметрия, журнал диалогов)</t>
        </is>
      </c>
      <c r="D28" s="51" t="n">
        <v>1</v>
      </c>
      <c r="E28" s="51" t="n">
        <v>1</v>
      </c>
      <c r="F28" s="51" t="n">
        <v>2</v>
      </c>
      <c r="G28" s="51" t="n">
        <v>20</v>
      </c>
      <c r="H28" s="51" t="n">
        <v>0</v>
      </c>
      <c r="I28" s="53">
        <f>D28*E28</f>
        <v/>
      </c>
      <c r="J28" s="53">
        <f>D28*F28</f>
        <v/>
      </c>
      <c r="K28" s="53">
        <f>D28*G28</f>
        <v/>
      </c>
      <c r="L28" s="53">
        <f>D28*H28</f>
        <v/>
      </c>
      <c r="M28" s="51" t="n">
        <v>2</v>
      </c>
      <c r="N28" s="51" t="n">
        <v>1</v>
      </c>
      <c r="O28" s="51" t="n">
        <v>2</v>
      </c>
      <c r="P28" s="51" t="n">
        <v>50</v>
      </c>
      <c r="Q28" s="51" t="n">
        <v>0</v>
      </c>
      <c r="R28" s="53">
        <f>M28*N28</f>
        <v/>
      </c>
      <c r="S28" s="53">
        <f>M28*O28</f>
        <v/>
      </c>
      <c r="T28" s="53">
        <f>M28*P28</f>
        <v/>
      </c>
      <c r="U28" s="53">
        <f>M28*Q28</f>
        <v/>
      </c>
      <c r="V28" s="9" t="inlineStr">
        <is>
          <t>Расчёт по максимуму прогноза: журнал диалогов за 90 суток (4 КБ на диалог) — 84 МБ на MVP и 0,95 ГБ на тираже; события использования 0,11 ГБ и 1,2 ГБ в год (308 байт на строку, замер); обращения (заложено 2 КБ на строку, замер по 8 строкам — 0,58 КБ; доля записи 40%) 0,07 и 0,76 ГБ в год. Данные абонента в Postgres не хранятся: они читаются из Биллинга и Диспетчерской в момент вопроса (решение 25 сентября 2026; прежняя строка профиля 24 МБ и 270 МБ снята). Итого до 0,4 ГБ (MVP) и до 4 ГБ (тираж; подробные события хранятся 12 месяцев, старше — сводная таблица); диск с запасом на журнал и копии.</t>
        </is>
      </c>
    </row>
    <row r="29" ht="45" customHeight="1">
      <c r="A29" s="50" t="n">
        <v>14</v>
      </c>
      <c r="B29" s="9" t="inlineStr">
        <is>
          <t>data</t>
        </is>
      </c>
      <c r="C29" s="11" t="inlineStr">
        <is>
          <t>Redis (квоты и сессии)</t>
        </is>
      </c>
      <c r="D29" s="51" t="n">
        <v>1</v>
      </c>
      <c r="E29" s="51" t="n">
        <v>0.1</v>
      </c>
      <c r="F29" s="51" t="n">
        <v>0.25</v>
      </c>
      <c r="G29" s="51" t="n">
        <v>1</v>
      </c>
      <c r="H29" s="51" t="n">
        <v>0</v>
      </c>
      <c r="I29" s="53">
        <f>D29*E29</f>
        <v/>
      </c>
      <c r="J29" s="53">
        <f>D29*F29</f>
        <v/>
      </c>
      <c r="K29" s="53">
        <f>D29*G29</f>
        <v/>
      </c>
      <c r="L29" s="53">
        <f>D29*H29</f>
        <v/>
      </c>
      <c r="M29" s="51" t="n">
        <v>2</v>
      </c>
      <c r="N29" s="51" t="n">
        <v>0.1</v>
      </c>
      <c r="O29" s="51" t="n">
        <v>0.25</v>
      </c>
      <c r="P29" s="51" t="n">
        <v>1</v>
      </c>
      <c r="Q29" s="51" t="n">
        <v>0</v>
      </c>
      <c r="R29" s="53">
        <f>M29*N29</f>
        <v/>
      </c>
      <c r="S29" s="53">
        <f>M29*O29</f>
        <v/>
      </c>
      <c r="T29" s="53">
        <f>M29*P29</f>
        <v/>
      </c>
      <c r="U29" s="53">
        <f>M29*Q29</f>
        <v/>
      </c>
      <c r="V29" s="9" t="inlineStr">
        <is>
          <t>Замер: ключ квоты ≈0,5 КБ, сессия ≈0,8 КБ на ход, срок жизни 30 минут. До 1 200 одновременных сессий (0,656 запроса/с × 30 мин) × 3 КБ ≈ 4 МБ: объём ничтожен. Отказ Redis отклоняет запросы (fail-closed), поэтому на тираже 2 экземпляра.</t>
        </is>
      </c>
    </row>
    <row r="30" ht="45" customHeight="1">
      <c r="A30" s="50" t="n">
        <v>15</v>
      </c>
      <c r="B30" s="9" t="inlineStr">
        <is>
          <t>data</t>
        </is>
      </c>
      <c r="C30" s="11" t="inlineStr">
        <is>
          <t>MinIO (документы, копии, снимки)</t>
        </is>
      </c>
      <c r="D30" s="51" t="n">
        <v>1</v>
      </c>
      <c r="E30" s="51" t="n">
        <v>0.25</v>
      </c>
      <c r="F30" s="51" t="n">
        <v>0.5</v>
      </c>
      <c r="G30" s="51" t="n">
        <v>100</v>
      </c>
      <c r="H30" s="51" t="n">
        <v>0</v>
      </c>
      <c r="I30" s="53">
        <f>D30*E30</f>
        <v/>
      </c>
      <c r="J30" s="53">
        <f>D30*F30</f>
        <v/>
      </c>
      <c r="K30" s="53">
        <f>D30*G30</f>
        <v/>
      </c>
      <c r="L30" s="53">
        <f>D30*H30</f>
        <v/>
      </c>
      <c r="M30" s="51" t="n">
        <v>1</v>
      </c>
      <c r="N30" s="51" t="n">
        <v>0.5</v>
      </c>
      <c r="O30" s="51" t="n">
        <v>1</v>
      </c>
      <c r="P30" s="51" t="n">
        <v>400</v>
      </c>
      <c r="Q30" s="51" t="n">
        <v>0</v>
      </c>
      <c r="R30" s="53">
        <f>M30*N30</f>
        <v/>
      </c>
      <c r="S30" s="53">
        <f>M30*O30</f>
        <v/>
      </c>
      <c r="T30" s="53">
        <f>M30*P30</f>
        <v/>
      </c>
      <c r="U30" s="53">
        <f>M30*Q30</f>
        <v/>
      </c>
      <c r="V30" s="9" t="inlineStr">
        <is>
          <t>Расчёт по максимуму прогноза: готовые бланки ≈200 КБ (допущение) × 2 800 в месяц = 6,7 ГБ в год (MVP) и × 31 500 = 76 ГБ в год (тираж), хранение 3 года — 20 и 227 ГБ; копии Postgres за 7 суток до 42 ГБ; документы базы знаний ≈1 ГБ; снимки Qdrant.</t>
        </is>
      </c>
    </row>
    <row r="31" ht="30" customHeight="1">
      <c r="A31" s="50" t="n">
        <v>16</v>
      </c>
      <c r="B31" s="9" t="inlineStr">
        <is>
          <t>gpu</t>
        </is>
      </c>
      <c r="C31" s="11" t="inlineStr">
        <is>
          <t>Эмбеддинги (BGE-M3, inference) [вариант с GPU]</t>
        </is>
      </c>
      <c r="D31" s="51">
        <f>1*$C$12</f>
        <v/>
      </c>
      <c r="E31" s="51" t="n">
        <v>1</v>
      </c>
      <c r="F31" s="51" t="n">
        <v>4</v>
      </c>
      <c r="G31" s="51" t="n">
        <v>5</v>
      </c>
      <c r="H31" s="51" t="n">
        <v>2</v>
      </c>
      <c r="I31" s="53">
        <f>D31*E31</f>
        <v/>
      </c>
      <c r="J31" s="53">
        <f>D31*F31</f>
        <v/>
      </c>
      <c r="K31" s="53">
        <f>D31*G31</f>
        <v/>
      </c>
      <c r="L31" s="53">
        <f>D31*H31</f>
        <v/>
      </c>
      <c r="M31" s="51">
        <f>1*$C$12</f>
        <v/>
      </c>
      <c r="N31" s="51" t="n">
        <v>1</v>
      </c>
      <c r="O31" s="51" t="n">
        <v>4</v>
      </c>
      <c r="P31" s="51" t="n">
        <v>5</v>
      </c>
      <c r="Q31" s="51" t="n">
        <v>2</v>
      </c>
      <c r="R31" s="53">
        <f>M31*N31</f>
        <v/>
      </c>
      <c r="S31" s="53">
        <f>M31*O31</f>
        <v/>
      </c>
      <c r="T31" s="53">
        <f>M31*P31</f>
        <v/>
      </c>
      <c r="U31" s="53">
        <f>M31*Q31</f>
        <v/>
      </c>
      <c r="V31" s="9" t="inlineStr">
        <is>
          <t>Замер: веса 2,14 ГиБ (fp32); на диске 4,25 ГБ — две копии в кэше. Расчёт: в fp16 ≈1,1 ГиБ + запас — ≈2 ГиБ видеопамяти. Скорость на GPU не измерялась.</t>
        </is>
      </c>
    </row>
    <row r="32" ht="30" customHeight="1">
      <c r="A32" s="50" t="n">
        <v>17</v>
      </c>
      <c r="B32" s="9" t="inlineStr">
        <is>
          <t>gpu</t>
        </is>
      </c>
      <c r="C32" s="11" t="inlineStr">
        <is>
          <t>Реранкер (BGE-reranker-v2-m3, inference) [вариант с GPU]</t>
        </is>
      </c>
      <c r="D32" s="51">
        <f>1*$C$12</f>
        <v/>
      </c>
      <c r="E32" s="51" t="n">
        <v>1</v>
      </c>
      <c r="F32" s="51" t="n">
        <v>3</v>
      </c>
      <c r="G32" s="51" t="n">
        <v>3</v>
      </c>
      <c r="H32" s="51" t="n">
        <v>1.5</v>
      </c>
      <c r="I32" s="53">
        <f>D32*E32</f>
        <v/>
      </c>
      <c r="J32" s="53">
        <f>D32*F32</f>
        <v/>
      </c>
      <c r="K32" s="53">
        <f>D32*G32</f>
        <v/>
      </c>
      <c r="L32" s="53">
        <f>D32*H32</f>
        <v/>
      </c>
      <c r="M32" s="51">
        <f>1*$C$12</f>
        <v/>
      </c>
      <c r="N32" s="51" t="n">
        <v>1</v>
      </c>
      <c r="O32" s="51" t="n">
        <v>3</v>
      </c>
      <c r="P32" s="51" t="n">
        <v>3</v>
      </c>
      <c r="Q32" s="51" t="n">
        <v>1.5</v>
      </c>
      <c r="R32" s="53">
        <f>M32*N32</f>
        <v/>
      </c>
      <c r="S32" s="53">
        <f>M32*O32</f>
        <v/>
      </c>
      <c r="T32" s="53">
        <f>M32*P32</f>
        <v/>
      </c>
      <c r="U32" s="53">
        <f>M32*Q32</f>
        <v/>
      </c>
      <c r="V32" s="9" t="inlineStr">
        <is>
          <t>Замер: веса 2,14 ГиБ (fp32). Расчёт: в fp16 ≈1,1 ГиБ + запас — ≈1,5 ГиБ видеопамяти. Скорость на GPU не измерялась; на CPU 7,2 с на 20 кандидатов.</t>
        </is>
      </c>
    </row>
    <row r="33" ht="30" customHeight="1">
      <c r="A33" s="50" t="n">
        <v>18</v>
      </c>
      <c r="B33" s="9" t="inlineStr">
        <is>
          <t>gpu-llm</t>
        </is>
      </c>
      <c r="C33" s="11" t="inlineStr">
        <is>
          <t>Собственная модель (Qwen2.5-32B INT4, vLLM) — по триггеру</t>
        </is>
      </c>
      <c r="D33" s="51" t="n">
        <v>0</v>
      </c>
      <c r="E33" s="51" t="n">
        <v>8</v>
      </c>
      <c r="F33" s="51" t="n">
        <v>64</v>
      </c>
      <c r="G33" s="51" t="n">
        <v>100</v>
      </c>
      <c r="H33" s="51" t="n">
        <v>0</v>
      </c>
      <c r="I33" s="53">
        <f>D33*E33</f>
        <v/>
      </c>
      <c r="J33" s="53">
        <f>D33*F33</f>
        <v/>
      </c>
      <c r="K33" s="53">
        <f>D33*G33</f>
        <v/>
      </c>
      <c r="L33" s="53">
        <f>D33*H33</f>
        <v/>
      </c>
      <c r="M33" s="51" t="n">
        <v>1</v>
      </c>
      <c r="N33" s="51" t="n">
        <v>8</v>
      </c>
      <c r="O33" s="51" t="n">
        <v>64</v>
      </c>
      <c r="P33" s="51" t="n">
        <v>100</v>
      </c>
      <c r="Q33" s="51" t="n">
        <v>40</v>
      </c>
      <c r="R33" s="53">
        <f>M33*N33</f>
        <v/>
      </c>
      <c r="S33" s="53">
        <f>M33*O33</f>
        <v/>
      </c>
      <c r="T33" s="53">
        <f>M33*P33</f>
        <v/>
      </c>
      <c r="U33" s="53">
        <f>M33*Q33</f>
        <v/>
      </c>
      <c r="V33" s="9" t="inlineStr">
        <is>
          <t>Только на тираже по триггеру. Видеопамять 40 ГБ — допущение (веса INT4 ожидаются 17–20 ГБ, заложено 34 ГБ, плюс кэш); проверка на карте не проводилась.</t>
        </is>
      </c>
    </row>
    <row r="34" ht="45" customHeight="1">
      <c r="A34" s="50" t="n">
        <v>19</v>
      </c>
      <c r="B34" s="9" t="inlineStr">
        <is>
          <t>general</t>
        </is>
      </c>
      <c r="C34" s="11" t="inlineStr">
        <is>
          <t>Эмбеддинги (e5-small на CPU) [вариант без GPU]</t>
        </is>
      </c>
      <c r="D34" s="51">
        <f>2*(1-$C$12)</f>
        <v/>
      </c>
      <c r="E34" s="51" t="n">
        <v>1</v>
      </c>
      <c r="F34" s="51" t="n">
        <v>1.5</v>
      </c>
      <c r="G34" s="51" t="n">
        <v>2</v>
      </c>
      <c r="H34" s="51" t="n">
        <v>0</v>
      </c>
      <c r="I34" s="53">
        <f>D34*E34</f>
        <v/>
      </c>
      <c r="J34" s="53">
        <f>D34*F34</f>
        <v/>
      </c>
      <c r="K34" s="53">
        <f>D34*G34</f>
        <v/>
      </c>
      <c r="L34" s="53">
        <f>D34*H34</f>
        <v/>
      </c>
      <c r="M34" s="51">
        <f>2*(1-$C$12)</f>
        <v/>
      </c>
      <c r="N34" s="51" t="n">
        <v>1</v>
      </c>
      <c r="O34" s="51" t="n">
        <v>1.5</v>
      </c>
      <c r="P34" s="51" t="n">
        <v>2</v>
      </c>
      <c r="Q34" s="51" t="n">
        <v>0</v>
      </c>
      <c r="R34" s="53">
        <f>M34*N34</f>
        <v/>
      </c>
      <c r="S34" s="53">
        <f>M34*O34</f>
        <v/>
      </c>
      <c r="T34" s="53">
        <f>M34*P34</f>
        <v/>
      </c>
      <c r="U34" s="53">
        <f>M34*Q34</f>
        <v/>
      </c>
      <c r="V34" s="9" t="inlineStr">
        <is>
          <t>Замер: e5-small — 36–37 мс на запрос на CPU и +300 МиБ ОЗУ; BGE-M3 на CPU (300 мс) в бюджет 100 мс не укладывается, реранкер на CPU (7,2 с) не годится и выключен. 2 реплики для отказоустойчивости. Только в варианте без GPU.</t>
        </is>
      </c>
    </row>
    <row r="35" ht="45" customHeight="1">
      <c r="A35" s="50" t="n">
        <v>20</v>
      </c>
      <c r="B35" s="9" t="inlineStr">
        <is>
          <t>general</t>
        </is>
      </c>
      <c r="C35" s="11" t="inlineStr">
        <is>
          <t>ETL индексации: эмбеддинги на CPU (CronJob) [вариант без GPU]</t>
        </is>
      </c>
      <c r="D35" s="51">
        <f>1*(1-$C$12)</f>
        <v/>
      </c>
      <c r="E35" s="51" t="n">
        <v>4</v>
      </c>
      <c r="F35" s="51" t="n">
        <v>4</v>
      </c>
      <c r="G35" s="51" t="n">
        <v>5</v>
      </c>
      <c r="H35" s="51" t="n">
        <v>0</v>
      </c>
      <c r="I35" s="53">
        <f>D35*E35</f>
        <v/>
      </c>
      <c r="J35" s="53">
        <f>D35*F35</f>
        <v/>
      </c>
      <c r="K35" s="53">
        <f>D35*G35</f>
        <v/>
      </c>
      <c r="L35" s="53">
        <f>D35*H35</f>
        <v/>
      </c>
      <c r="M35" s="51">
        <f>1*(1-$C$12)</f>
        <v/>
      </c>
      <c r="N35" s="51" t="n">
        <v>4</v>
      </c>
      <c r="O35" s="51" t="n">
        <v>4</v>
      </c>
      <c r="P35" s="51" t="n">
        <v>5</v>
      </c>
      <c r="Q35" s="51" t="n">
        <v>0</v>
      </c>
      <c r="R35" s="53">
        <f>M35*N35</f>
        <v/>
      </c>
      <c r="S35" s="53">
        <f>M35*O35</f>
        <v/>
      </c>
      <c r="T35" s="53">
        <f>M35*P35</f>
        <v/>
      </c>
      <c r="U35" s="53">
        <f>M35*Q35</f>
        <v/>
      </c>
      <c r="V35" s="9" t="inlineStr">
        <is>
          <t>Расчёт по замеру: e5-small ≈27 мс на часть (машина с 12 потоками) → 30–100 тыс. частей ≈14–46 мин; на поде с 4 vCPU время не измерялось и может быть в 2–3 раза больше (окно 3 часа). Только в варианте без GPU.</t>
        </is>
      </c>
    </row>
    <row r="37">
      <c r="C37" s="43" t="inlineStr">
        <is>
          <t>Итог по пулам узлов</t>
        </is>
      </c>
      <c r="P37" s="9" t="inlineStr">
        <is>
          <t>Загрузка узла по запросам, не выше</t>
        </is>
      </c>
      <c r="Q37" s="54" t="n">
        <v>0.7</v>
      </c>
    </row>
    <row r="38">
      <c r="B38" s="5" t="inlineStr">
        <is>
          <t>Пул</t>
        </is>
      </c>
      <c r="C38" s="5" t="inlineStr">
        <is>
          <t>Класс узла</t>
        </is>
      </c>
      <c r="D38" s="5" t="inlineStr">
        <is>
          <t>vCPU узла</t>
        </is>
      </c>
      <c r="E38" s="5" t="inlineStr">
        <is>
          <t>ОЗУ узла, ГиБ</t>
        </is>
      </c>
      <c r="F38" s="5" t="inlineStr">
        <is>
          <t>Видеопамять узла, ГиБ</t>
        </is>
      </c>
      <c r="G38" s="5" t="inlineStr">
        <is>
          <t>Запас на потерю узла (1 — да)</t>
        </is>
      </c>
      <c r="H38" s="5" t="inlineStr">
        <is>
          <t>MVP: vCPU</t>
        </is>
      </c>
      <c r="I38" s="5" t="inlineStr">
        <is>
          <t>MVP: ОЗУ</t>
        </is>
      </c>
      <c r="J38" s="5" t="inlineStr">
        <is>
          <t>MVP: видеопамять</t>
        </is>
      </c>
      <c r="K38" s="5" t="inlineStr">
        <is>
          <t>MVP: узлов</t>
        </is>
      </c>
      <c r="L38" s="5" t="inlineStr">
        <is>
          <t>Тираж: vCPU</t>
        </is>
      </c>
      <c r="M38" s="5" t="inlineStr">
        <is>
          <t>Тираж: ОЗУ</t>
        </is>
      </c>
      <c r="N38" s="5" t="inlineStr">
        <is>
          <t>Тираж: видеопамять</t>
        </is>
      </c>
      <c r="O38" s="5" t="inlineStr">
        <is>
          <t>Тираж: узлов</t>
        </is>
      </c>
    </row>
    <row r="39">
      <c r="B39" s="11" t="inlineStr">
        <is>
          <t>general</t>
        </is>
      </c>
      <c r="C39" s="9" t="inlineStr">
        <is>
          <t>Общий пул (платформа, приложение, наблюдаемость)</t>
        </is>
      </c>
      <c r="D39" s="10" t="n">
        <v>8</v>
      </c>
      <c r="E39" s="10" t="n">
        <v>16</v>
      </c>
      <c r="F39" s="10" t="n">
        <v>0</v>
      </c>
      <c r="G39" s="10" t="n">
        <v>1</v>
      </c>
      <c r="H39" s="55">
        <f>SUMIF($B$16:$B$35,$B39,$I$16:$I$35)</f>
        <v/>
      </c>
      <c r="I39" s="55">
        <f>SUMIF($B$16:$B$35,$B39,$J$16:$J$35)</f>
        <v/>
      </c>
      <c r="J39" s="55">
        <f>SUMIF($B$16:$B$35,$B39,$L$16:$L$35)</f>
        <v/>
      </c>
      <c r="K39" s="56">
        <f>IF(H39=0,0,ROUNDUP(MAX(H39/($Q$37*$D39),I39/($Q$37*$E39),IF($F39&gt;0,J39/($Q$37*$F39),0)),0)+$G39)</f>
        <v/>
      </c>
      <c r="L39" s="55">
        <f>SUMIF($B$16:$B$35,$B39,$R$16:$R$35)</f>
        <v/>
      </c>
      <c r="M39" s="55">
        <f>SUMIF($B$16:$B$35,$B39,$S$16:$S$35)</f>
        <v/>
      </c>
      <c r="N39" s="55">
        <f>SUMIF($B$16:$B$35,$B39,$U$16:$U$35)</f>
        <v/>
      </c>
      <c r="O39" s="56">
        <f>IF(L39=0,0,ROUNDUP(MAX(L39/($Q$37*$D39),M39/($Q$37*$E39),IF($F39&gt;0,N39/($Q$37*$F39),0)),0)+$G39)</f>
        <v/>
      </c>
    </row>
    <row r="40">
      <c r="B40" s="11" t="inlineStr">
        <is>
          <t>data</t>
        </is>
      </c>
      <c r="C40" s="9" t="inlineStr">
        <is>
          <t>Пул данных (NVMe)</t>
        </is>
      </c>
      <c r="D40" s="10" t="n">
        <v>8</v>
      </c>
      <c r="E40" s="10" t="n">
        <v>32</v>
      </c>
      <c r="F40" s="10" t="n">
        <v>0</v>
      </c>
      <c r="G40" s="10" t="n">
        <v>1</v>
      </c>
      <c r="H40" s="55">
        <f>SUMIF($B$16:$B$35,$B40,$I$16:$I$35)</f>
        <v/>
      </c>
      <c r="I40" s="55">
        <f>SUMIF($B$16:$B$35,$B40,$J$16:$J$35)</f>
        <v/>
      </c>
      <c r="J40" s="55">
        <f>SUMIF($B$16:$B$35,$B40,$L$16:$L$35)</f>
        <v/>
      </c>
      <c r="K40" s="56">
        <f>IF(H40=0,0,ROUNDUP(MAX(H40/($Q$37*$D40),I40/($Q$37*$E40),IF($F40&gt;0,J40/($Q$37*$F40),0)),0)+$G40)</f>
        <v/>
      </c>
      <c r="L40" s="55">
        <f>SUMIF($B$16:$B$35,$B40,$R$16:$R$35)</f>
        <v/>
      </c>
      <c r="M40" s="55">
        <f>SUMIF($B$16:$B$35,$B40,$S$16:$S$35)</f>
        <v/>
      </c>
      <c r="N40" s="55">
        <f>SUMIF($B$16:$B$35,$B40,$U$16:$U$35)</f>
        <v/>
      </c>
      <c r="O40" s="56">
        <f>IF(L40=0,0,ROUNDUP(MAX(L40/($Q$37*$D40),M40/($Q$37*$E40),IF($F40&gt;0,N40/($Q$37*$F40),0)),0)+$G40)</f>
        <v/>
      </c>
    </row>
    <row r="41">
      <c r="B41" s="11" t="inlineStr">
        <is>
          <t>gpu</t>
        </is>
      </c>
      <c r="C41" s="9" t="inlineStr">
        <is>
          <t>GPU-пул (эмбеддинги, реранкер)</t>
        </is>
      </c>
      <c r="D41" s="10" t="n">
        <v>8</v>
      </c>
      <c r="E41" s="10" t="n">
        <v>32</v>
      </c>
      <c r="F41" s="10" t="n">
        <v>24</v>
      </c>
      <c r="G41" s="10" t="n">
        <v>0</v>
      </c>
      <c r="H41" s="55">
        <f>SUMIF($B$16:$B$35,$B41,$I$16:$I$35)</f>
        <v/>
      </c>
      <c r="I41" s="55">
        <f>SUMIF($B$16:$B$35,$B41,$J$16:$J$35)</f>
        <v/>
      </c>
      <c r="J41" s="55">
        <f>SUMIF($B$16:$B$35,$B41,$L$16:$L$35)</f>
        <v/>
      </c>
      <c r="K41" s="56">
        <f>IF(H41=0,0,ROUNDUP(MAX(H41/($Q$37*$D41),I41/($Q$37*$E41),IF($F41&gt;0,J41/($Q$37*$F41),0)),0)+$G41)</f>
        <v/>
      </c>
      <c r="L41" s="55">
        <f>SUMIF($B$16:$B$35,$B41,$R$16:$R$35)</f>
        <v/>
      </c>
      <c r="M41" s="55">
        <f>SUMIF($B$16:$B$35,$B41,$S$16:$S$35)</f>
        <v/>
      </c>
      <c r="N41" s="55">
        <f>SUMIF($B$16:$B$35,$B41,$U$16:$U$35)</f>
        <v/>
      </c>
      <c r="O41" s="56">
        <f>IF(L41=0,0,ROUNDUP(MAX(L41/($Q$37*$D41),M41/($Q$37*$E41),IF($F41&gt;0,N41/($Q$37*$F41),0)),0)+$G41)</f>
        <v/>
      </c>
    </row>
    <row r="42">
      <c r="B42" s="11" t="inlineStr">
        <is>
          <t>gpu-llm</t>
        </is>
      </c>
      <c r="C42" s="9" t="inlineStr">
        <is>
          <t>GPU-пул генерации (тираж)</t>
        </is>
      </c>
      <c r="D42" s="10" t="n">
        <v>16</v>
      </c>
      <c r="E42" s="10" t="n">
        <v>128</v>
      </c>
      <c r="F42" s="10" t="n">
        <v>80</v>
      </c>
      <c r="G42" s="10" t="n">
        <v>0</v>
      </c>
      <c r="H42" s="55">
        <f>SUMIF($B$16:$B$35,$B42,$I$16:$I$35)</f>
        <v/>
      </c>
      <c r="I42" s="55">
        <f>SUMIF($B$16:$B$35,$B42,$J$16:$J$35)</f>
        <v/>
      </c>
      <c r="J42" s="55">
        <f>SUMIF($B$16:$B$35,$B42,$L$16:$L$35)</f>
        <v/>
      </c>
      <c r="K42" s="56">
        <f>IF(H42=0,0,ROUNDUP(MAX(H42/($Q$37*$D42),I42/($Q$37*$E42),IF($F42&gt;0,J42/($Q$37*$F42),0)),0)+$G42)</f>
        <v/>
      </c>
      <c r="L42" s="55">
        <f>SUMIF($B$16:$B$35,$B42,$R$16:$R$35)</f>
        <v/>
      </c>
      <c r="M42" s="55">
        <f>SUMIF($B$16:$B$35,$B42,$S$16:$S$35)</f>
        <v/>
      </c>
      <c r="N42" s="55">
        <f>SUMIF($B$16:$B$35,$B42,$U$16:$U$35)</f>
        <v/>
      </c>
      <c r="O42" s="56">
        <f>IF(L42=0,0,ROUNDUP(MAX(L42/($Q$37*$D42),M42/($Q$37*$E42),IF($F42&gt;0,N42/($Q$37*$F42),0)),0)+$G42)</f>
        <v/>
      </c>
    </row>
    <row r="43">
      <c r="B43" s="11" t="inlineStr">
        <is>
          <t>Итого узлов</t>
        </is>
      </c>
      <c r="K43" s="57">
        <f>SUM(K39:K42)</f>
        <v/>
      </c>
      <c r="O43" s="57">
        <f>SUM(O39:O42)</f>
        <v/>
      </c>
    </row>
    <row r="44">
      <c r="B44" s="11" t="inlineStr">
        <is>
          <t>Диск под тома, ГиБ</t>
        </is>
      </c>
      <c r="K44" s="58">
        <f>SUM($K$16:$K$35)</f>
        <v/>
      </c>
      <c r="O44" s="58">
        <f>SUM($T$16:$T$35)</f>
        <v/>
      </c>
    </row>
    <row r="46">
      <c r="B46" s="33" t="inlineStr">
        <is>
          <t>Не покрыто: скорость моделей на GPU (видеопамять и время индексации — допущения); стоимость серверов и обслуживания; системные поды Kubernetes (≈1 vCPU и 2 ГиБ на узел); управляющая часть Kubernetes размещена на трёх узлах общего пула (допущение); нагрузочный тест не проводился.</t>
        </is>
      </c>
    </row>
  </sheetData>
  <mergeCells count="11">
    <mergeCell ref="C4:U4"/>
    <mergeCell ref="C11:U11"/>
    <mergeCell ref="C5:U5"/>
    <mergeCell ref="M14:U14"/>
    <mergeCell ref="D14:L14"/>
    <mergeCell ref="C8:U8"/>
    <mergeCell ref="C9:U9"/>
    <mergeCell ref="C3:U3"/>
    <mergeCell ref="C7:U7"/>
    <mergeCell ref="C6:U6"/>
    <mergeCell ref="C10:U10"/>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60" customWidth="1" min="2" max="2"/>
    <col width="16" customWidth="1" min="3" max="3"/>
    <col width="16" customWidth="1" min="4" max="4"/>
    <col width="16" customWidth="1" min="5" max="5"/>
    <col width="16" customWidth="1" min="6" max="6"/>
    <col width="60" customWidth="1" min="7" max="7"/>
  </cols>
  <sheetData>
    <row r="1">
      <c r="A1" s="32" t="inlineStr">
        <is>
          <t>Прогноз нагрузки и стоимости токенов — минимум и максимум</t>
        </is>
      </c>
    </row>
    <row r="2" ht="34" customHeight="1">
      <c r="A2" s="49" t="inlineStr">
        <is>
          <t>Синие ячейки — входные допущения: после получения данных по обращениям подставьте новые значения, нагрузка и стоимость пересчитаются. Тариф — публичный тариф YandexGPT Pro из ADR-500, не проверялся; тариф GigaChat Pro неизвестен. Цен на серверы и GPU нет.</t>
        </is>
      </c>
    </row>
    <row r="4">
      <c r="A4" s="5" t="inlineStr">
        <is>
          <t>№</t>
        </is>
      </c>
      <c r="B4" s="5" t="inlineStr">
        <is>
          <t>Входное допущение</t>
        </is>
      </c>
      <c r="C4" s="5" t="inlineStr">
        <is>
          <t>Минимум</t>
        </is>
      </c>
      <c r="D4" s="5" t="inlineStr">
        <is>
          <t>Максимум</t>
        </is>
      </c>
      <c r="E4" s="5" t="inlineStr"/>
      <c r="F4" s="5" t="inlineStr"/>
      <c r="G4" s="5" t="inlineStr">
        <is>
          <t>Откуда взято / чем подтвердить</t>
        </is>
      </c>
    </row>
    <row r="5" ht="30" customHeight="1">
      <c r="A5" s="56" t="inlineStr">
        <is>
          <t>A1</t>
        </is>
      </c>
      <c r="B5" s="9" t="inlineStr">
        <is>
          <t>Доля абонентов, пришедших в чат хотя бы раз в месяц</t>
        </is>
      </c>
      <c r="C5" s="54" t="n">
        <v>0.07000000000000001</v>
      </c>
      <c r="D5" s="54" t="n">
        <v>0.35</v>
      </c>
      <c r="G5" s="9" t="inlineStr">
        <is>
          <t>70% абонентов обращаются раз в месяц (ADR-500) × доля визитов через чат 10–50%. Не все абоненты пойдут в диалог. Подтвердить: Статистика посещаемости личного кабинета и доля, доходящая до чата</t>
        </is>
      </c>
    </row>
    <row r="6" ht="30" customHeight="1">
      <c r="A6" s="56" t="inlineStr">
        <is>
          <t>A2</t>
        </is>
      </c>
      <c r="B6" s="9" t="inlineStr">
        <is>
          <t>Диалогов на такого абонента в месяц</t>
        </is>
      </c>
      <c r="C6" s="59" t="n">
        <v>1</v>
      </c>
      <c r="D6" s="59" t="n">
        <v>2.5</v>
      </c>
      <c r="G6" s="9" t="inlineStr">
        <is>
          <t>Допущение: 1,0 диалога в месяц (минимум) и 2,5 (максимум), не измерено. Подтвердить: Частота обращений в колл-центр на абонента</t>
        </is>
      </c>
    </row>
    <row r="7" ht="30" customHeight="1">
      <c r="A7" s="56" t="inlineStr">
        <is>
          <t>A3</t>
        </is>
      </c>
      <c r="B7" s="9" t="inlineStr">
        <is>
          <t>Вопросов внутри одного диалога</t>
        </is>
      </c>
      <c r="C7" s="59" t="n">
        <v>3</v>
      </c>
      <c r="D7" s="59" t="n">
        <v>6</v>
      </c>
      <c r="G7" s="9" t="inlineStr">
        <is>
          <t>Минимум — 3 вопроса за визит (ADR-500); максимум 6 — допущение, не измерено. Подтвердить: Анализ живых обращений и пилот</t>
        </is>
      </c>
    </row>
    <row r="8" ht="30" customHeight="1">
      <c r="A8" s="56" t="inlineStr">
        <is>
          <t>P</t>
        </is>
      </c>
      <c r="B8" s="9" t="inlineStr">
        <is>
          <t>Доля вопросов, доходящих до модели</t>
        </is>
      </c>
      <c r="C8" s="54" t="n">
        <v>0.3</v>
      </c>
      <c r="D8" s="54" t="n">
        <v>0.7</v>
      </c>
      <c r="G8" s="9" t="inlineStr">
        <is>
          <t>Замер на двух наборах живых текстов: 30% (регистр обращений по телефону и почте) и 70% (форма вопросов Golden Set). Остальные закрывают правила и ответы без модели. Подтвердить: Анализ живых обращений (ADR-600)</t>
        </is>
      </c>
    </row>
    <row r="9" ht="30" customHeight="1">
      <c r="A9" s="56" t="inlineStr">
        <is>
          <t>T</t>
        </is>
      </c>
      <c r="B9" s="9" t="inlineStr">
        <is>
          <t>Токенов на запрос к модели (вход + выход)</t>
        </is>
      </c>
      <c r="C9" s="59" t="n">
        <v>401</v>
      </c>
      <c r="D9" s="59" t="n">
        <v>3500</v>
      </c>
      <c r="G9" s="9" t="inlineStr">
        <is>
          <t>Минимум — замер по 19 вызовам YandexGPT (короткие фрагменты FAQ). Максимум — допущение: системный текст + 3 фрагмента по ≈800 токенов. Подтвердить: Пилот на базе из нескольких тысяч документов</t>
        </is>
      </c>
    </row>
    <row r="10" ht="30" customHeight="1">
      <c r="A10" s="56" t="inlineStr">
        <is>
          <t>A4</t>
        </is>
      </c>
      <c r="B10" s="9" t="inlineStr">
        <is>
          <t>Доля суточных запросов в пиковый час</t>
        </is>
      </c>
      <c r="C10" s="54" t="n">
        <v>0.15</v>
      </c>
      <c r="D10" s="54" t="n">
        <v>0.15</v>
      </c>
      <c r="G10" s="9" t="inlineStr">
        <is>
          <t>Допущение: профиль ЖКХ (дни начисления и оплаты). Подтвердить: Статистика ЛК</t>
        </is>
      </c>
    </row>
    <row r="11" ht="30" customHeight="1">
      <c r="A11" s="56" t="inlineStr">
        <is>
          <t>W</t>
        </is>
      </c>
      <c r="B11" s="9" t="inlineStr">
        <is>
          <t>Время ответа, с</t>
        </is>
      </c>
      <c r="C11" s="59" t="n">
        <v>3</v>
      </c>
      <c r="D11" s="59" t="n">
        <v>3</v>
      </c>
      <c r="G11" s="9" t="inlineStr">
        <is>
          <t>Целевое значение (DoD). Подтвердить: —</t>
        </is>
      </c>
    </row>
    <row r="12" ht="30" customHeight="1">
      <c r="A12" s="56" t="inlineStr">
        <is>
          <t>G</t>
        </is>
      </c>
      <c r="B12" s="9" t="inlineStr">
        <is>
          <t>Вопросов в эталонном наборе для судьи</t>
        </is>
      </c>
      <c r="C12" s="59" t="n">
        <v>30</v>
      </c>
      <c r="D12" s="59" t="n">
        <v>30</v>
      </c>
      <c r="G12" s="9" t="inlineStr">
        <is>
          <t>Замер: `golden_set/quality.json`, 30 вопросов. Подтвердить: —</t>
        </is>
      </c>
    </row>
    <row r="13" ht="30" customHeight="1">
      <c r="A13" s="56" t="inlineStr">
        <is>
          <t>R</t>
        </is>
      </c>
      <c r="B13" s="9" t="inlineStr">
        <is>
          <t>Прогонов эталонного набора в месяц</t>
        </is>
      </c>
      <c r="C13" s="59" t="n">
        <v>4.3</v>
      </c>
      <c r="D13" s="59" t="n">
        <v>30</v>
      </c>
      <c r="G13" s="9" t="inlineStr">
        <is>
          <t>Минимум — раз в неделю, максимум — каждую ночь. Подтвердить: Решение команды</t>
        </is>
      </c>
    </row>
    <row r="14" ht="30" customHeight="1">
      <c r="A14" s="56" t="inlineStr">
        <is>
          <t>C</t>
        </is>
      </c>
      <c r="B14" s="9" t="inlineStr">
        <is>
          <t>Вызовов судьи на образец</t>
        </is>
      </c>
      <c r="C14" s="59" t="n">
        <v>5</v>
      </c>
      <c r="D14" s="59" t="n">
        <v>5</v>
      </c>
      <c r="G14" s="9" t="inlineStr">
        <is>
          <t>Допущение, не измерено. Подтвердить: Первый прогон с провайдером</t>
        </is>
      </c>
    </row>
    <row r="15" ht="30" customHeight="1">
      <c r="A15" s="56" t="inlineStr">
        <is>
          <t>J</t>
        </is>
      </c>
      <c r="B15" s="9" t="inlineStr">
        <is>
          <t>Токенов на вызов судьи</t>
        </is>
      </c>
      <c r="C15" s="59" t="n">
        <v>2000</v>
      </c>
      <c r="D15" s="59" t="n">
        <v>2000</v>
      </c>
      <c r="G15" s="9" t="inlineStr">
        <is>
          <t>Допущение, не измерено. Подтвердить: Первый прогон с провайдером</t>
        </is>
      </c>
    </row>
    <row r="16" ht="30" customHeight="1">
      <c r="A16" s="56" t="inlineStr">
        <is>
          <t>S_</t>
        </is>
      </c>
      <c r="B16" s="9" t="inlineStr">
        <is>
          <t>Доля ответов, оцениваемых судьёй в проде</t>
        </is>
      </c>
      <c r="C16" s="54" t="n">
        <v>0.01</v>
      </c>
      <c r="D16" s="54" t="n">
        <v>0.05</v>
      </c>
      <c r="G16" s="9" t="inlineStr">
        <is>
          <t>Допущение: 1–5% выборка трафика. Подтвердить: Решение команды</t>
        </is>
      </c>
    </row>
    <row r="17" ht="30" customHeight="1">
      <c r="A17" s="56" t="inlineStr">
        <is>
          <t>A6</t>
        </is>
      </c>
      <c r="B17" s="9" t="inlineStr">
        <is>
          <t>Доля диалогов с записью (Этап 2)</t>
        </is>
      </c>
      <c r="C17" s="54" t="n">
        <v>0.15</v>
      </c>
      <c r="D17" s="54" t="n">
        <v>0.4</v>
      </c>
      <c r="G17" s="9" t="inlineStr">
        <is>
          <t>Допущение: 15–40% диалогов, не измерено. Подтвердить: Разметка обращений и пилот</t>
        </is>
      </c>
    </row>
    <row r="18" ht="30" customHeight="1">
      <c r="A18" s="56" t="inlineStr">
        <is>
          <t>A8</t>
        </is>
      </c>
      <c r="B18" s="9" t="inlineStr">
        <is>
          <t>Токенов на диалог с записью сверх обычных (Этап 2)</t>
        </is>
      </c>
      <c r="C18" s="59" t="n">
        <v>6000</v>
      </c>
      <c r="D18" s="59" t="n">
        <v>20000</v>
      </c>
      <c r="G18" s="9" t="inlineStr">
        <is>
          <t>Допущение: 6 000–20 000 токенов, не измерено. Подтвердить: Замер на пилоте</t>
        </is>
      </c>
    </row>
    <row r="19">
      <c r="B19" s="11" t="inlineStr">
        <is>
          <t>Тариф, ₽ за 1000 токенов</t>
        </is>
      </c>
      <c r="C19" s="60" t="n">
        <v>0.8</v>
      </c>
    </row>
    <row r="20">
      <c r="B20" s="11" t="inlineStr">
        <is>
          <t>Абонентов, MVP</t>
        </is>
      </c>
      <c r="C20" s="61" t="n">
        <v>8000</v>
      </c>
    </row>
    <row r="21">
      <c r="B21" s="11" t="inlineStr">
        <is>
          <t>Абонентов, тираж</t>
        </is>
      </c>
      <c r="C21" s="61" t="n">
        <v>90000</v>
      </c>
    </row>
    <row r="23">
      <c r="B23" s="5" t="inlineStr">
        <is>
          <t>Показатель</t>
        </is>
      </c>
      <c r="C23" s="5" t="inlineStr">
        <is>
          <t>MVP, минимум</t>
        </is>
      </c>
      <c r="D23" s="5" t="inlineStr">
        <is>
          <t>MVP, максимум</t>
        </is>
      </c>
      <c r="E23" s="5" t="inlineStr">
        <is>
          <t>Тираж, минимум</t>
        </is>
      </c>
      <c r="F23" s="5" t="inlineStr">
        <is>
          <t>Тираж, максимум</t>
        </is>
      </c>
    </row>
    <row r="24">
      <c r="B24" s="9" t="inlineStr">
        <is>
          <t>Пришло в чат за месяц, человек</t>
        </is>
      </c>
      <c r="C24" s="42">
        <f>$C$20*C5</f>
        <v/>
      </c>
      <c r="D24" s="42">
        <f>$C$20*D5</f>
        <v/>
      </c>
      <c r="E24" s="42">
        <f>$C$21*C5</f>
        <v/>
      </c>
      <c r="F24" s="42">
        <f>$C$21*D5</f>
        <v/>
      </c>
    </row>
    <row r="25">
      <c r="B25" s="9" t="inlineStr">
        <is>
          <t>Диалогов в месяц</t>
        </is>
      </c>
      <c r="C25" s="42">
        <f>C24*C6</f>
        <v/>
      </c>
      <c r="D25" s="42">
        <f>D24*D6</f>
        <v/>
      </c>
      <c r="E25" s="42">
        <f>E24*C6</f>
        <v/>
      </c>
      <c r="F25" s="42">
        <f>F24*D6</f>
        <v/>
      </c>
    </row>
    <row r="26">
      <c r="B26" s="9" t="inlineStr">
        <is>
          <t>Вопросов в месяц</t>
        </is>
      </c>
      <c r="C26" s="42">
        <f>C25*C7</f>
        <v/>
      </c>
      <c r="D26" s="42">
        <f>D25*D7</f>
        <v/>
      </c>
      <c r="E26" s="42">
        <f>E25*C7</f>
        <v/>
      </c>
      <c r="F26" s="42">
        <f>F25*D7</f>
        <v/>
      </c>
    </row>
    <row r="27">
      <c r="B27" s="9" t="inlineStr">
        <is>
          <t>Запросов к модели в месяц</t>
        </is>
      </c>
      <c r="C27" s="42">
        <f>C26*C8</f>
        <v/>
      </c>
      <c r="D27" s="42">
        <f>D26*D8</f>
        <v/>
      </c>
      <c r="E27" s="42">
        <f>E26*C8</f>
        <v/>
      </c>
      <c r="F27" s="42">
        <f>F26*D8</f>
        <v/>
      </c>
    </row>
    <row r="28">
      <c r="B28" s="9" t="inlineStr">
        <is>
          <t>Токенов генерации в месяц</t>
        </is>
      </c>
      <c r="C28" s="42">
        <f>C27*C9</f>
        <v/>
      </c>
      <c r="D28" s="42">
        <f>D27*D9</f>
        <v/>
      </c>
      <c r="E28" s="42">
        <f>E27*C9</f>
        <v/>
      </c>
      <c r="F28" s="42">
        <f>F27*D9</f>
        <v/>
      </c>
    </row>
    <row r="29">
      <c r="B29" s="9" t="inlineStr">
        <is>
          <t>Токенов судьи в месяц (эталонный набор + выборка трафика)</t>
        </is>
      </c>
      <c r="C29" s="42">
        <f>C12*C13*C14*C15+C27*C16*C14*C15</f>
        <v/>
      </c>
      <c r="D29" s="42">
        <f>D12*D13*D14*D15+D27*D16*D14*D15</f>
        <v/>
      </c>
      <c r="E29" s="42">
        <f>C12*C13*C14*C15+E27*C16*C14*C15</f>
        <v/>
      </c>
      <c r="F29" s="42">
        <f>D12*D13*D14*D15+F27*D16*D14*D15</f>
        <v/>
      </c>
    </row>
    <row r="30">
      <c r="B30" s="9" t="inlineStr">
        <is>
          <t>Генерация, ₽ в месяц</t>
        </is>
      </c>
      <c r="C30" s="42">
        <f>C28*$C$19/1000</f>
        <v/>
      </c>
      <c r="D30" s="42">
        <f>D28*$C$19/1000</f>
        <v/>
      </c>
      <c r="E30" s="42">
        <f>E28*$C$19/1000</f>
        <v/>
      </c>
      <c r="F30" s="42">
        <f>F28*$C$19/1000</f>
        <v/>
      </c>
    </row>
    <row r="31">
      <c r="B31" s="9" t="inlineStr">
        <is>
          <t>Судья качества, ₽ в месяц</t>
        </is>
      </c>
      <c r="C31" s="42">
        <f>C29*$C$19/1000</f>
        <v/>
      </c>
      <c r="D31" s="42">
        <f>D29*$C$19/1000</f>
        <v/>
      </c>
      <c r="E31" s="42">
        <f>E29*$C$19/1000</f>
        <v/>
      </c>
      <c r="F31" s="42">
        <f>F29*$C$19/1000</f>
        <v/>
      </c>
    </row>
    <row r="32">
      <c r="B32" s="11" t="inlineStr">
        <is>
          <t>Итого токены, ₽ в месяц</t>
        </is>
      </c>
      <c r="C32" s="62">
        <f>C30+C31</f>
        <v/>
      </c>
      <c r="D32" s="62">
        <f>D30+D31</f>
        <v/>
      </c>
      <c r="E32" s="62">
        <f>E30+E31</f>
        <v/>
      </c>
      <c r="F32" s="62">
        <f>F30+F31</f>
        <v/>
      </c>
    </row>
    <row r="33">
      <c r="B33" s="11" t="inlineStr">
        <is>
          <t>Итого токены, ₽ в год</t>
        </is>
      </c>
      <c r="C33" s="62">
        <f>C32*12</f>
        <v/>
      </c>
      <c r="D33" s="62">
        <f>D32*12</f>
        <v/>
      </c>
      <c r="E33" s="62">
        <f>E32*12</f>
        <v/>
      </c>
      <c r="F33" s="62">
        <f>F32*12</f>
        <v/>
      </c>
    </row>
    <row r="34">
      <c r="B34" s="9" t="inlineStr">
        <is>
          <t>Справочно: агент Этапа 2 добавит, ₽ в месяц</t>
        </is>
      </c>
      <c r="C34" s="42">
        <f>C25*C17*C18*$C$19/1000</f>
        <v/>
      </c>
      <c r="D34" s="42">
        <f>D25*D17*D18*$C$19/1000</f>
        <v/>
      </c>
      <c r="E34" s="42">
        <f>E25*C17*C18*$C$19/1000</f>
        <v/>
      </c>
      <c r="F34" s="42">
        <f>F25*D17*D18*$C$19/1000</f>
        <v/>
      </c>
    </row>
    <row r="35">
      <c r="B35" s="9" t="inlineStr">
        <is>
          <t>Пик, вопросов в секунду</t>
        </is>
      </c>
      <c r="C35" s="63">
        <f>C26/30*C10/3600</f>
        <v/>
      </c>
      <c r="D35" s="63">
        <f>D26/30*D10/3600</f>
        <v/>
      </c>
      <c r="E35" s="63">
        <f>E26/30*C10/3600</f>
        <v/>
      </c>
      <c r="F35" s="63">
        <f>F26/30*D10/3600</f>
        <v/>
      </c>
    </row>
    <row r="36">
      <c r="B36" s="9" t="inlineStr">
        <is>
          <t>Одновременно обрабатывается</t>
        </is>
      </c>
      <c r="C36" s="63">
        <f>C35*C11</f>
        <v/>
      </c>
      <c r="D36" s="63">
        <f>D35*D11</f>
        <v/>
      </c>
      <c r="E36" s="63">
        <f>E35*C11</f>
        <v/>
      </c>
      <c r="F36" s="63">
        <f>F35*D11</f>
        <v/>
      </c>
    </row>
    <row r="38">
      <c r="B38" s="9" t="inlineStr">
        <is>
          <t>Расчётная нагрузка sizing: 0,1 запроса/с на MVP и 1 запрос/с на тираже; должна быть не ниже строки «Пик».</t>
        </is>
      </c>
    </row>
  </sheetData>
  <mergeCells count="1">
    <mergeCell ref="A2:G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2026-09-25T07:45:39Z</dcterms:created>
  <dcterms:modified xmlns:dcterms="http://purl.org/dc/terms/" xmlns:xsi="http://www.w3.org/2001/XMLSchema-instance" xsi:type="dcterms:W3CDTF">2026-09-25T07:45:40Z</dcterms:modified>
</cp:coreProperties>
</file>