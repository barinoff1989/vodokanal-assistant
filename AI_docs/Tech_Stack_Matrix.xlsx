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'Матрица'!$A$2:$V$40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Kubernetes Secret (GitLab CI variables).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после проверки на реальных данных решит добавить GPU-узел (строка «GPU-узел в кластере владельца»); сами тесты BGE-M3 идут офлайн на CPU.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в коде не реализована и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если владелец после проверки на реальных данных решит купить GPU-узел. Порядок теста (24.09.2026): (1) базовая линия качества ответов без реранкера на реальных данных — не менее 200 обращений, оценка эксперта (1,5–2 чел-дн); (2) разбор ошибок: верного фрагмента нет в топ-20 / есть в топ-20, но не в топ-3 (реранкер может исправить только их) / ошибка генерации (1–2 чел-дн); (3) тест 2–3 реранкеров офлайн на CPU на тех же вопросах, оценка изменившихся ответов (2–4 чел-дн); (4) решение о GPU: реранкер включается и GPU арендуется, только если без реранкера не проходят пороги А и Б, а реранкер их исправляет. Порог пустых выдач (критерий В): не более 3% вопросов с ответом, пустых из-за порядка; рабочее значение автора. Порядок в коде: кандидаты по косинусу → реранкер → первые три → отсев по косинусному порогу 0,872; реранкер может поднять наверх фрагменты с низким косинусом, они отсекутся, выдача станет неполной или пустой — не измерялось. В тесте сравниваются порядки «реранкер → порог» и «порог → реранкер» по hit@1, hit@3, MRR и доле пустых выдач (считается по каждому вопросу на одних и тех же 20 кандидатах: пустая выдача; меньше трёх; пустая из-за порядка — пуста при «реранкер → порог», но не пуста без реранкера; верный фрагмент отсечён порогом; условный пример на 10 вопросах — в ADR-600; у порядка «порог → реранкер» пустых из-за порядка по построению нет; вопросы без ответа в базе размечаются отдельно и считаются отдельно) (в пределах шагов 4–5, оценка автора; правка порядка в коде, если понадобится, ≈0,5 чел-дн внутри оценки). Добавлено 3–5 чел-дн к прежним 5–7 (оценка автора). Единая выборка 300–400 обращений для эмбеддингов, реранкера и проверки провайдеров; ответы генерируются один раз в блоке проверки провайдеров (он идёт раньше), здесь оценивается только качество; если выборки разные — +0,5–1 чел-дн, вне итога. Время эксперта водоканала (не чел-дн команды): 29–52 ч ≈ 4–6,5 рабочих дня — верный фрагмент базы или пометка «ответа в базе нет» для 300–400 обращений 15–33 ч, оценка 200 ответов 10–13 ч, оценка изменившихся ответов 3–4 ч, подтверждение порогов 1–2 ч (оценка автора); наличие эксперта неизвестно.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(8–12 чел-дн вместе с базовой линией ответов и разбором ошибок, см. порядок ниже);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10</v>
      </c>
      <c r="N11" s="17" t="n">
        <v>15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как настроено шифрование Kubernetes Secrets и права на них, есть ли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15 компонентов, секреты (Kubernetes Secret из GitLab CI variables). Расчёт по допущениям (лист «Sizing», базовый вариант без GPU): 5 узлов на MVP (3 общих и 2 данных; на границе округления, возможно 6),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шифрование Secrets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(необязательный локальный вариант); MVP — GitLab CI variables, Kubernetes Secret</t>
        </is>
      </c>
      <c r="F23" s="9" t="inlineStr">
        <is>
          <t>Переменные окружения оболочки, `.env` приложение не читает; через `docker compose` передаются в контейнер. Vault в dev-режиме — необязательный локальный вариант.</t>
        </is>
      </c>
      <c r="G23" s="9" t="inlineStr">
        <is>
          <t>Целевой механизм (решение заказчика проекта, 24.09.2026): GitLab CI variables (masked, protected) + деплой через pipeline → Kubernetes Secret. Сравнение (ADR-200, «Секреты в проде: GitLab CI variables и альтернативы»; по документации, без проверки на стенде владельца): Vault Agent Injector — есть аудит чтения, аренда и замена без пересборки, но нужна новая система (отказоустойчивость, разблокировка, резервные копии) и sidecar в каждом поде; External Secrets Operator или Vault CSI — то же плюс оператор; SOPS или Sealed Secrets — шифрованные секреты в Git, без аудита чтения; Kubernetes Secret вручную — без повторяемости и журнала. Файл `.env` на диске отклонён: секрет в открытом виде лишний, когда есть переменные окружения.</t>
        </is>
      </c>
      <c r="H23" s="9" t="inlineStr">
        <is>
          <t>ADR-200, раздел «Секреты и конфигурация» и подраздел «Секреты в проде: GitLab CI variables и альтернативы»; ADR-400 («Что добавляется в контуре MVP»)</t>
        </is>
      </c>
      <c r="I23" s="9" t="inlineStr">
        <is>
          <t>Нет аудита чтения; значения видны ролям проекта GitLab с правом их читать (по документации Maintainer и выше); шифрование etcd в кластере неизвестно; замена секрета требует деплоя и перезапуска подов; маскирование в логах ограничено по формату значения. Настройки GitLab владельца, права на переменные и версия не проверялись. Прежний выбор Vault Agent Injector отменён как не обоснованный сравнением.</t>
        </is>
      </c>
      <c r="J23" s="9" t="inlineStr">
        <is>
          <t>Переменные проекта GitLab CI (masked, protected, по окружениям); job деплоя создаёт Kubernetes Secret без вывода значений в лог; подключение в поды через secretKeyRef или envFrom (изменений кода нет); регламент замены секрета; проверка, что значения не попадают в лог pipeline, образ и манифесты.</t>
        </is>
      </c>
      <c r="K23" s="9" t="inlineStr">
        <is>
          <t>GitLab CI/CD variables (masked, protected), pipeline деплоя, Kubernetes Secret; версия и редакция GitLab владельца неизвестны.</t>
        </is>
      </c>
      <c r="L23" s="9" t="inlineStr">
        <is>
          <t>Ничего нового не ставится и не эксплуатируется: GitLab уже используется (со слов); приложение читает переменные окружения, как на прототипе. Vault — вариант по условиям пересмотра: аудит чтения, динамические секреты, замена без перезапуска (ADR-400).</t>
        </is>
      </c>
      <c r="M23" s="12" t="n">
        <v>2</v>
      </c>
      <c r="N23" s="12" t="n">
        <v>3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Grafana и Zabbix — владельца (не наши контейнеры); отдельные контейнеры Prometheus и Loki — верхняя оценка до ответа владельца (MVP)</t>
        </is>
      </c>
      <c r="E24" s="9" t="inlineStr">
        <is>
          <t>prometheus-client (метрики на отдельном порту 9100); MVP — Zabbix и Grafana владельца (Jaeger — по необходимости), дашборды и триггеры как код</t>
        </is>
      </c>
      <c r="F24" s="9" t="inlineStr">
        <is>
          <t>Метрики Prometheus на отдельном порту 9100 (в Compose порт не опубликован: с хоста недоступен, внутри контейнера отдаётся), события потока в панели стенда. Дашбордов, сбора логов, трассировки и алертов нет.</t>
        </is>
      </c>
      <c r="G24" s="9" t="inlineStr">
        <is>
          <t>Факты со слов заказчика проекта (24.09.2026): в реальном контуре работают Grafana, Zabbix и Jaeger; алерты не настроены. Основной вариант C — Zabbix собирает метрики с порта 9100, Grafana владельца показывает, алерты — триггеры Zabbix; запасной B — свой Prometheus как источник для Grafana (если Zabbix не справится с задержкой P99: квантили по гистограммам штатно не считает — по документации, не проверялось). Prometheus владельца снят (не назван), своя четвёрка и ELK/облако отклонены. Прежнее «Zabbix отклонён: ориентирован на хосты» не проверялось. Сравнение по документации.</t>
        </is>
      </c>
      <c r="H24" s="9" t="inlineStr">
        <is>
          <t>ADR-200, раздел «Сравнение вариантов по слоям», подраздел «Наблюдаемость: Grafana владельца и источники данных»</t>
        </is>
      </c>
      <c r="I24" s="9" t="inlineStr">
        <is>
          <t>Алерты не настроены: 9 описанных алертов (в том числе «Утечка ПДн в ответе») принимать некому — нет каналов и получателей; предложение автора: настроенный алерт об утечке ПДн — условие включения MVP (согласовать с ИБ). Не известны версии Zabbix, Grafana, Jaeger, подключение Zabbix к Grafana, возможность считать квантили, сбор логов. Трассировки в нашем коде нет (Jaeger в контуре есть).</t>
        </is>
      </c>
      <c r="J24" s="9" t="inlineStr">
        <is>
          <t>Дашборды как код (JSON, импорт в Grafana владельца): 5 Golden Signals и 8 метрик ИИ; 9 алертов как триггеры и действия Zabbix; сбор метрик с порта 9100; проверка расчёта P99 в Zabbix до начала работ; определение получателей и каналов оповещения; в логах только отчёт об обезличивании. Оценка не пересматривалась (5–8): развёртывание своей связки отпало, добавились интеграция с Zabbix и настройка оповещений. Трассировка OpenTelemetry → Jaeger — по необходимости, 2–4 чел-дн, оценка автора, в итог не входит.</t>
        </is>
      </c>
      <c r="K24" s="9" t="inlineStr">
        <is>
          <t>Zabbix и Grafana владельца; prometheus-client (порт 9100); Jaeger — по необходимости (OpenTelemetry, OTLP); Prometheus и Loki — верхняя оценка до ответа владельца.</t>
        </is>
      </c>
      <c r="L24" s="9" t="inlineStr">
        <is>
          <t>Без этого нельзя измерять задержку ответа (P99), долю отказов и утечки ПДн на реальных абонентах; мониторинг и Grafana уже есть у владельца, дублировать их незачем.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ADR-200;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GPU-узел в кластере владельца (решение после проверки на реальных данных)</t>
        </is>
      </c>
      <c r="D36" s="9" t="inlineStr">
        <is>
          <t>Kubernetes-кластер владельца (новый GPU-узел); embedding-inference; reranker-inference; ETL индексации</t>
        </is>
      </c>
      <c r="E36" s="9" t="inlineStr">
        <is>
          <t>Kubernetes: плагин устройств GPU, метки узлов и taints; драйвер видеокарты</t>
        </is>
      </c>
      <c r="F36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6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Владелец примет решение о GPU-узле только после проверки на реальных данных (24.09.2026): тест моделей идёт на CPU, скорость на GPU — коротким замером на временной видеокарте (ADR-200, «Почему Kubernetes», ADR-600).</t>
        </is>
      </c>
      <c r="H36" s="9" t="inlineStr">
        <is>
          <t>ADR-200, подраздел «Почему Kubernetes, а не другая оркестрация» (пункт «GPU»); ADR-300, раздел 2; ADR-600, «GPU-узел в кластере владельца — решение после проверки на реальных данных»</t>
        </is>
      </c>
      <c r="I36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6" s="9" t="inlineStr">
        <is>
          <t>Решение — после проверки на реальных данных. Лестница (каждый следующий вариант — только если предыдущий не подошёл): (1) CPU + YandexGPT — базовый: поиск на CPU (e5-small), реранкер выключен, генерация через внешний API (на прототипе YandexGPT; новых потоков данных вовне нет); (2) аренда GPU на месяц — замер скорости, качество на обезличенных текстах, пилот (2–4 чел-дн оценка автора, цена аренды не оценена, нужно согласование с ИБ); (3) покупка — по итогам аренды, решение владельца. Критерии (выбраны заказчиком проекта 24.09.2026): А — hit@3 ≥ 85% и hit@1 ≥ 60% на размеченном наборе живых обращений (рабочие значения, предложение автора, подтверждает владелец после разметки первых 100 обращений); Б — доля ответов, оценённых экспертом как верные и полезные, не ниже 80% на подвыборке не менее 200 (рабочее значение автора); В — пустых выдач из-за реранкера (пуста при «реранкер → порог», но не пуста без реранкера) не более 3% вопросов с ответом в базе (рабочее значение автора, только для реранкера; порядок «порог → реранкер» проходит по построению); D — GPU оправдан при выигрыше над лучшим CPU не менее 5 п.п. по hit@3 или MRR; С — скорость не ниже прототипа: до первого куска ответа медиана ≤ 0,78 с, до конца ответа ≤ 2,6 с (замер прототипа 24.09.2026 на 19 вызовах), поиск P99 ≤ 100 мс. Вариант 1 не подходит при нарушении А, Б или С. Набор для проверки — от 300–400 размеченных обращений (на 30 доверительный интервал ±18 п.п.), сравнение парное. Если решение — покупать (после аренды): закупка сервера и подключение к общему кластеру (драйверы, плагин устройств, метки и запреты размещения, квоты, согласование с отделом) — 3–5 чел-дн без закупки.</t>
        </is>
      </c>
      <c r="K36" s="9" t="inlineStr">
        <is>
          <t>Kubernetes: плагин устройств GPU, метки узлов и taints; драйвер видеокарты.</t>
        </is>
      </c>
      <c r="L36" s="9" t="inlineStr">
        <is>
          <t>Тест BGE-M3 и реранкеров остаётся в плане при любом исходе: он и даёт основание для решения. Строка отражает работы на случай покупки и в итог сметы не входит.</t>
        </is>
      </c>
      <c r="M36" s="12" t="n">
        <v>3</v>
      </c>
      <c r="N36" s="12" t="n">
        <v>5</v>
      </c>
      <c r="O36" s="13" t="inlineStr">
        <is>
          <t>По триггеру (решение владельца после проверки на реальных данных; оценка автора)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ADR-200; 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Выбор семейства собственной модели и закупка GPU</t>
        </is>
      </c>
      <c r="D37" s="9" t="inlineStr">
        <is>
          <t>LLM Provider (собственная модель, тираж); LLM Gateway; GPU-пул</t>
        </is>
      </c>
      <c r="E37" s="9" t="inlineStr">
        <is>
          <t>Qwen2.5-32B INT4; vLLM; 1× GPU A100 80 ГБ</t>
        </is>
      </c>
      <c r="F37" s="9" t="inlineStr">
        <is>
          <t>Выбор Qwen2.5 сделан по репутации, на эталонном наборе не проверен.</t>
        </is>
      </c>
      <c r="G37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7" s="9" t="inlineStr">
        <is>
          <t>ADR-300, раздел 4, подраздел «Сравнение семейства self-hosted-модели тиража»; стоимость — ADR-500</t>
        </is>
      </c>
      <c r="I37" s="9" t="inlineStr">
        <is>
          <t>Закупка оборудования — недели или месяцы, это снабжение, не разработка.</t>
        </is>
      </c>
      <c r="J37" s="14" t="inlineStr">
        <is>
          <t>Без изменений</t>
        </is>
      </c>
      <c r="K37" s="15" t="n"/>
      <c r="L37" s="15" t="n"/>
      <c r="M37" s="16" t="n"/>
      <c r="N37" s="16" t="n"/>
      <c r="O37" s="15" t="n"/>
      <c r="P37" s="9" t="inlineStr">
        <is>
          <t>Сравнение семейств на эталонном наборе; закупка и ввод GPU-сервера 1× A100 80 ГБ.</t>
        </is>
      </c>
      <c r="Q37" s="9" t="inlineStr">
        <is>
          <t>Qwen2.5-32B INT4, vLLM.</t>
        </is>
      </c>
      <c r="R37" s="9" t="inlineStr">
        <is>
          <t>Аренда исключена не по цене, а по триггеру (речь о собственной модели генерации; для проверки эмбеддингов и реранкера на MVP аренда на месяц допустима): облачный GPU считается внешним сервисом.</t>
        </is>
      </c>
      <c r="S37" s="20" t="n">
        <v>3</v>
      </c>
      <c r="T37" s="20" t="n">
        <v>5</v>
      </c>
      <c r="U37" s="21" t="inlineStr">
        <is>
          <t>ADR-600</t>
        </is>
      </c>
      <c r="V37" s="9" t="inlineStr">
        <is>
          <t>ADR-300; ADR-500;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Анализ всех типов обращений на живых данных и повторный выбор моделей</t>
        </is>
      </c>
      <c r="D38" s="9" t="inlineStr">
        <is>
          <t>Backend (Triage, ответчики); embedding-inference; reranker-inference; Qdrant (переиндексация при смене модели); LLM Gateway (пороги)</t>
        </is>
      </c>
      <c r="E38" s="9" t="inlineStr">
        <is>
          <t>Скрипты замера (`scripts/`), `golden_set/`, PII Filter; результат — Inquiry_Types.xlsx</t>
        </is>
      </c>
      <c r="F38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8" s="9" t="inlineStr">
        <is>
          <t>Не применимо: это работа, а не выбор технологии; сравнение моделей входит в её состав.</t>
        </is>
      </c>
      <c r="H38" s="9" t="inlineStr">
        <is>
          <t>ADR-300, разделы 1–2 (решение); ADR-600, раздел «Анализ типов обращений на живых данных»</t>
        </is>
      </c>
      <c r="I38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8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8" s="9" t="inlineStr">
        <is>
          <t>Скрипты замера (`scripts/measure_classifier.py`, `measure_search_models.py`), `golden_set/`, PII Filter; результат — обновлённый `Inquiry_Types.xlsx`.</t>
        </is>
      </c>
      <c r="L38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8" s="17" t="n">
        <v>13</v>
      </c>
      <c r="N38" s="17" t="n">
        <v>19</v>
      </c>
      <c r="O38" s="18" t="inlineStr">
        <is>
          <t>Из блока ADR-600: Анализ типов на живых данных</t>
        </is>
      </c>
      <c r="P38" s="9" t="inlineStr">
        <is>
          <t>Повторное решение по моделям для тиража по живой статистике MVP.</t>
        </is>
      </c>
      <c r="Q38" s="9" t="inlineStr">
        <is>
          <t>Те же скрипты замера; при смене модели — переиндексация и пересчёт порогов k-NN.</t>
        </is>
      </c>
      <c r="R38" s="9" t="inlineStr">
        <is>
          <t>Проверить, что модель MVP годится при нагрузке тиража; при необходимости пересчитать пороги и sizing.</t>
        </is>
      </c>
      <c r="S38" s="20" t="n">
        <v>2</v>
      </c>
      <c r="T38" s="20" t="n">
        <v>3</v>
      </c>
      <c r="U38" s="21" t="inlineStr">
        <is>
          <t>ADR-600</t>
        </is>
      </c>
      <c r="V38" s="9" t="inlineStr">
        <is>
          <t>ADR-300; ADR-600; Inquiry_Types.xlsx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Несколько задач в одной реплике (доработка после прототипа)</t>
        </is>
      </c>
      <c r="D39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39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39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39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39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39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39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39" s="9" t="inlineStr">
        <is>
          <t>Python; правила на регулярных выражениях; метрика `assistant_multi_intent_total`; состояние диалога в Redis.</t>
        </is>
      </c>
      <c r="L39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39" s="17" t="n">
        <v>9</v>
      </c>
      <c r="N39" s="17" t="n">
        <v>14</v>
      </c>
      <c r="O39" s="18" t="inlineStr">
        <is>
          <t>Из блока ADR-600: Несколько задач в одной реплике (доработка после прототипа)</t>
        </is>
      </c>
      <c r="P39" s="14" t="inlineStr">
        <is>
          <t>Без изменений</t>
        </is>
      </c>
      <c r="Q39" s="15" t="n"/>
      <c r="R39" s="15" t="n"/>
      <c r="S39" s="16" t="n"/>
      <c r="T39" s="16" t="n"/>
      <c r="U39" s="15" t="n"/>
      <c r="V39" s="9" t="inlineStr">
        <is>
          <t>ADR-100; ADR-200; ADR-400;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Проверка на живых данных: Guardrails и выбор провайдера (YandexGPT, GigaChat)</t>
        </is>
      </c>
      <c r="D40" s="9" t="inlineStr">
        <is>
          <t>LLM Gateway; Guardrails; LLM Provider (YandexGPT, GigaChat); Backend; PII Filter</t>
        </is>
      </c>
      <c r="E40" s="9" t="inlineStr">
        <is>
          <t>Скрипты замера (`scripts/`), судья качества, метрики Prometheus, LiteLLM Router (цепочки переключения), PII Filter</t>
        </is>
      </c>
      <c r="F40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0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0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0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0" s="9" t="inlineStr">
        <is>
          <t>1) Проверка работоспособности Guardrails на живых вопросах — не менее 200 из единой выборки 300–400 (общей с тестами эмбеддингов и реранкера; ответы этого прогона без реранкера — базовая линия критерия Б):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0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0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0" s="17" t="n">
        <v>11</v>
      </c>
      <c r="N40" s="17" t="n">
        <v>18</v>
      </c>
      <c r="O40" s="18" t="inlineStr">
        <is>
          <t>Из блока ADR-600: Проверка Guardrails и провайдеров на живых данных</t>
        </is>
      </c>
      <c r="P40" s="14" t="inlineStr">
        <is>
          <t>Без изменений</t>
        </is>
      </c>
      <c r="Q40" s="15" t="n"/>
      <c r="R40" s="15" t="n"/>
      <c r="S40" s="16" t="n"/>
      <c r="T40" s="16" t="n"/>
      <c r="U40" s="15" t="n"/>
      <c r="V40" s="9" t="inlineStr">
        <is>
          <t>ADR-300; ADR-400; ADR-600</t>
        </is>
      </c>
    </row>
    <row r="42">
      <c r="C42" s="26" t="inlineStr">
        <is>
          <t>Цвет ячеек с оценкой:</t>
        </is>
      </c>
    </row>
    <row r="43">
      <c r="C43" s="27" t="n"/>
      <c r="D43" s="28" t="inlineStr">
        <is>
          <t>цифра прямо из ADR-600</t>
        </is>
      </c>
    </row>
    <row r="44">
      <c r="C44" s="29" t="n"/>
      <c r="D44" s="28" t="inlineStr">
        <is>
          <t>цифра блока ADR-600 (или его доля, распределённая автором) — подтвердить</t>
        </is>
      </c>
    </row>
    <row r="45">
      <c r="C45" s="30" t="n"/>
      <c r="D45" s="28" t="inlineStr">
        <is>
          <t>в ADR-600 нет, оценка автора — подтвердить</t>
        </is>
      </c>
    </row>
    <row r="46">
      <c r="C46" s="31" t="n"/>
      <c r="D46" s="28" t="inlineStr">
        <is>
          <t>изменений на этом этапе нет</t>
        </is>
      </c>
    </row>
  </sheetData>
  <autoFilter ref="A2:V40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SUM('Матрица'!$M$3:$M$40)-SUMIF('Матрица'!$O$3:$O$40,"По триггеру*",'Матрица'!$M$3:$M$40)</f>
        <v/>
      </c>
      <c r="C5" s="34">
        <f>SUM('Матрица'!$N$3:$N$40)-SUMIF('Матрица'!$O$3:$O$40,"По триггеру*",'Матрица'!$N$3:$N$40)</f>
        <v/>
      </c>
      <c r="D5" s="34">
        <f>B5/5</f>
        <v/>
      </c>
      <c r="E5" s="34">
        <f>C5/5</f>
        <v/>
      </c>
      <c r="F5" s="35">
        <f>SUMIF('Матрица'!$O$3:$O$40,"ADR-600",'Матрица'!$M$3:$M$40)</f>
        <v/>
      </c>
      <c r="G5" s="35">
        <f>SUMIF('Матрица'!$O$3:$O$40,"ADR-600",'Матрица'!$N$3:$N$40)</f>
        <v/>
      </c>
      <c r="H5" s="36">
        <f>SUMIF('Матрица'!$O$3:$O$40,"Из блока*",'Матрица'!$M$3:$M$40)</f>
        <v/>
      </c>
      <c r="I5" s="36">
        <f>SUMIF('Матрица'!$O$3:$O$40,"Из блока*",'Матрица'!$N$3:$N$40)</f>
        <v/>
      </c>
      <c r="J5" s="37">
        <f>SUMIF('Матрица'!$O$3:$O$40,"Оценка автора",'Матрица'!$M$3:$M$40)</f>
        <v/>
      </c>
      <c r="K5" s="37">
        <f>SUMIF('Матрица'!$O$3:$O$40,"Оценка автора",'Матрица'!$N$3:$N$40)</f>
        <v/>
      </c>
      <c r="L5" s="34">
        <f>SUMIF('Матрица'!$O$3:$O$40,"По триггеру*",'Матрица'!$M$3:$M$40)</f>
        <v/>
      </c>
      <c r="M5" s="34">
        <f>SUMIF('Матрица'!$O$3:$O$40,"По триггеру*",'Матрица'!$N$3:$N$40)</f>
        <v/>
      </c>
    </row>
    <row r="6">
      <c r="A6" s="11" t="inlineStr">
        <is>
          <t>Тираж — 90 000 абонентов</t>
        </is>
      </c>
      <c r="B6" s="34">
        <f>SUM('Матрица'!$S$3:$S$40)-SUMIF('Матрица'!$U$3:$U$40,"По триггеру*",'Матрица'!$S$3:$S$40)</f>
        <v/>
      </c>
      <c r="C6" s="34">
        <f>SUM('Матрица'!$T$3:$T$40)-SUMIF('Матрица'!$U$3:$U$40,"По триггеру*",'Матрица'!$T$3:$T$40)</f>
        <v/>
      </c>
      <c r="D6" s="34">
        <f>B6/5</f>
        <v/>
      </c>
      <c r="E6" s="34">
        <f>C6/5</f>
        <v/>
      </c>
      <c r="F6" s="35">
        <f>SUMIF('Матрица'!$U$3:$U$40,"ADR-600",'Матрица'!$S$3:$S$40)</f>
        <v/>
      </c>
      <c r="G6" s="35">
        <f>SUMIF('Матрица'!$U$3:$U$40,"ADR-600",'Матрица'!$T$3:$T$40)</f>
        <v/>
      </c>
      <c r="H6" s="36">
        <f>SUMIF('Матрица'!$U$3:$U$40,"Из блока*",'Матрица'!$S$3:$S$40)</f>
        <v/>
      </c>
      <c r="I6" s="36">
        <f>SUMIF('Матрица'!$U$3:$U$40,"Из блока*",'Матрица'!$T$3:$T$40)</f>
        <v/>
      </c>
      <c r="J6" s="37">
        <f>SUMIF('Матрица'!$U$3:$U$40,"Оценка автора",'Матрица'!$S$3:$S$40)</f>
        <v/>
      </c>
      <c r="K6" s="37">
        <f>SUMIF('Матрица'!$U$3:$U$40,"Оценка автора",'Матрица'!$T$3:$T$40)</f>
        <v/>
      </c>
      <c r="L6" s="34">
        <f>SUMIF('Матрица'!$U$3:$U$40,"По триггеру*",'Матрица'!$S$3:$S$40)</f>
        <v/>
      </c>
      <c r="M6" s="34">
        <f>SUMIF('Матрица'!$U$3:$U$40,"По триггеру*",'Матрица'!$T$3:$T$40)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SUMIF('Матрица'!$O$3:$O$40,"Из блока ADR-600: P0",'Матрица'!$M$3:$M$40)</f>
        <v/>
      </c>
      <c r="E15" s="34">
        <f>SUMIF('Матрица'!$O$3:$O$40,"Из блока ADR-600: P0",'Матрица'!$N$3:$N$40)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SUMIF('Матрица'!$O$3:$O$40,"Из блока ADR-600: Согласования",'Матрица'!$M$3:$M$40)</f>
        <v/>
      </c>
      <c r="E16" s="34">
        <f>SUMIF('Матрица'!$O$3:$O$40,"Из блока ADR-600: Согласования",'Матрица'!$N$3:$N$40)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38</v>
      </c>
      <c r="C17" s="34" t="n">
        <v>56</v>
      </c>
      <c r="D17" s="34">
        <f>SUMIF('Матрица'!$O$3:$O$40,"Из блока ADR-600: Качество поиска и классификации",'Матрица'!$M$3:$M$40)</f>
        <v/>
      </c>
      <c r="E17" s="34">
        <f>SUMIF('Матрица'!$O$3:$O$40,"Из блока ADR-600: Качество поиска и классификации",'Матрица'!$N$3:$N$40)</f>
        <v/>
      </c>
      <c r="F17" s="44">
        <f>IF(AND(D17=B17,E17=C17),"да","НЕТ")</f>
        <v/>
      </c>
      <c r="G17" s="9" t="inlineStr">
        <is>
          <t>≈8–11 недель: классификатор 8–12 + эмбеддинги 10–14 + реранкер 10–15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SUMIF('Матрица'!$O$3:$O$40,"Из блока ADR-600: Основная разработка Этапа 2",'Матрица'!$M$3:$M$40)</f>
        <v/>
      </c>
      <c r="E18" s="34">
        <f>SUMIF('Матрица'!$O$3:$O$40,"Из блока ADR-600: Основная разработка Этапа 2",'Матрица'!$N$3:$N$40)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SUMIF('Матрица'!$O$3:$O$40,"Из блока ADR-600: Документация и ИБ",'Матрица'!$M$3:$M$40)</f>
        <v/>
      </c>
      <c r="E19" s="34">
        <f>SUMIF('Матрица'!$O$3:$O$40,"Из блока ADR-600: Документация и ИБ",'Матрица'!$N$3:$N$40)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SUMIF('Матрица'!$O$3:$O$40,"Из блока ADR-600: Анализ типов на живых данных",'Матрица'!$M$3:$M$40)</f>
        <v/>
      </c>
      <c r="E20" s="34">
        <f>SUMIF('Матрица'!$O$3:$O$40,"Из блока ADR-600: Анализ типов на живых данных",'Матрица'!$N$3:$N$40)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SUMIF('Матрица'!$O$3:$O$40,"Из блока ADR-600: Несколько задач в одной реплике (доработка после прототипа)",'Матрица'!$M$3:$M$40)</f>
        <v/>
      </c>
      <c r="E21" s="34">
        <f>SUMIF('Матрица'!$O$3:$O$40,"Из блока ADR-600: Несколько задач в одной реплике (доработка после прототипа)",'Матрица'!$N$3:$N$40)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SUMIF('Матрица'!$O$3:$O$40,"Из блока ADR-600: Проверка Guardrails и провайдеров на живых данных",'Матрица'!$M$3:$M$40)</f>
        <v/>
      </c>
      <c r="E22" s="34">
        <f>SUMIF('Матрица'!$O$3:$O$40,"Из блока ADR-600: Проверка Guardrails и провайдеров на живых данных",'Матрица'!$N$3:$N$40)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≈22–34 недели (≈110–170 чел-дн); сумма блоков 111,5–169,5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'Матрица'!A36</f>
        <v/>
      </c>
      <c r="B42" s="9">
        <f>'Матрица'!C36</f>
        <v/>
      </c>
      <c r="C42" s="9" t="inlineStr">
        <is>
          <t>MVP</t>
        </is>
      </c>
      <c r="D42" s="34">
        <f>'Матрица'!M36</f>
        <v/>
      </c>
      <c r="E42" s="34">
        <f>'Матрица'!N36</f>
        <v/>
      </c>
      <c r="F42" s="13">
        <f>'Матрица'!O36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4">
      <c r="A44" s="9">
        <f>'Матрица'!A39</f>
        <v/>
      </c>
      <c r="B44" s="9">
        <f>'Матрица'!C39</f>
        <v/>
      </c>
      <c r="C44" s="9" t="inlineStr">
        <is>
          <t>MVP</t>
        </is>
      </c>
      <c r="D44" s="34">
        <f>'Матрица'!M39</f>
        <v/>
      </c>
      <c r="E44" s="34">
        <f>'Матрица'!N39</f>
        <v/>
      </c>
      <c r="F44" s="18">
        <f>'Матрица'!O39</f>
        <v/>
      </c>
    </row>
    <row r="45">
      <c r="A45" s="9">
        <f>'Матрица'!A40</f>
        <v/>
      </c>
      <c r="B45" s="9">
        <f>'Матрица'!C40</f>
        <v/>
      </c>
      <c r="C45" s="9" t="inlineStr">
        <is>
          <t>MVP</t>
        </is>
      </c>
      <c r="D45" s="34">
        <f>'Матрица'!M40</f>
        <v/>
      </c>
      <c r="E45" s="34">
        <f>'Матрица'!N40</f>
        <v/>
      </c>
      <c r="F45" s="18">
        <f>'Матрица'!O40</f>
        <v/>
      </c>
    </row>
    <row r="47">
      <c r="B47" s="43" t="inlineStr">
        <is>
          <t>Документы-источники</t>
        </is>
      </c>
    </row>
    <row r="48">
      <c r="B48" s="11" t="inlineStr">
        <is>
          <t>ADR-100</t>
        </is>
      </c>
      <c r="C48" s="9" t="inlineStr">
        <is>
          <t>Что сдано и что отложено; таблица «целевой компонент — замена на прототипе»</t>
        </is>
      </c>
    </row>
    <row r="49">
      <c r="B49" s="11" t="inlineStr">
        <is>
          <t>ADR-200</t>
        </is>
      </c>
      <c r="C49" s="9" t="inlineStr">
        <is>
          <t>Стек по слоям, альтернативы, сравнение Python/Go/Node.js</t>
        </is>
      </c>
    </row>
    <row r="50">
      <c r="B50" s="11" t="inlineStr">
        <is>
          <t>ADR-300</t>
        </is>
      </c>
      <c r="C50" s="9" t="inlineStr">
        <is>
          <t>Модели: классификация, эмбеддинги, реранкер, генерация, судья</t>
        </is>
      </c>
    </row>
    <row r="51">
      <c r="B51" s="11" t="inlineStr">
        <is>
          <t>ADR-400</t>
        </is>
      </c>
      <c r="C51" s="9" t="inlineStr">
        <is>
          <t>Безопасность по контурам, открытые пункты</t>
        </is>
      </c>
    </row>
    <row r="52">
      <c r="B52" s="11" t="inlineStr">
        <is>
          <t>ADR-500</t>
        </is>
      </c>
      <c r="C52" s="9" t="inlineStr">
        <is>
          <t>Ресурсы и стоимость: прототип, MVP, тираж</t>
        </is>
      </c>
    </row>
    <row r="53">
      <c r="B53" s="11" t="inlineStr">
        <is>
          <t>ADR-600</t>
        </is>
      </c>
      <c r="C53" s="9" t="inlineStr">
        <is>
          <t>План развития и укрупнённые оценки трудозатрат</t>
        </is>
      </c>
    </row>
    <row r="54">
      <c r="B54" s="11" t="inlineStr">
        <is>
          <t>C4_Deployment, C3/*</t>
        </is>
      </c>
      <c r="C54" s="9" t="inlineStr">
        <is>
          <t>Целевая схема развёртывания и компоненты</t>
        </is>
      </c>
    </row>
    <row r="55">
      <c r="B55" s="11" t="inlineStr">
        <is>
          <t>Код и docker-compose.yml</t>
        </is>
      </c>
      <c r="C55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48:F48"/>
    <mergeCell ref="C3:F3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20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5 узлов (3 общих 8 vCPU/16 ГиБ, 2 данных 8 vCPU/32 ГиБ; на границе округления, возможно 6), тираж — 7 (+1 узел под собственную модель с A100 80 ГБ). Вариант с GPU-узлом: 6 и 8 узлов (3 общих, 2 данных, 1 GPU; на тираже ещё узел под модель). Диск под тома ≈170 ГиБ на MVP и ≈661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(GitLab CI variables, Kubernetes Secret)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5"/>
  <sheetViews>
    <sheetView showGridLines="0" workbookViewId="0">
      <pane xSplit="3" ySplit="15" topLeftCell="D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Секреты</t>
        </is>
      </c>
      <c r="C8" s="9" t="inlineStr">
        <is>
          <t>Vault в расчёт не входит: целевой механизм — GitLab CI variables и Kubernetes Secret, отдельных подов нет (ADR-400). Если владелец выберет Vault, понадобится под Vault (допущение: 0,25 vCPU, 0,25 ГиБ, диск 1 ГиБ) и инжектор секретов.</t>
        </is>
      </c>
    </row>
    <row r="9" ht="32" customHeight="1">
      <c r="B9" s="11" t="inlineStr">
        <is>
          <t>Наблюдаемость</t>
        </is>
      </c>
      <c r="C9" s="9" t="inlineStr">
        <is>
          <t>В реальном контуре работают Grafana, Zabbix и Jaeger (решение заказчика проекта, со слов); алерты не настроены. Grafana и Alertmanager в расчёт не входят. Prometheus (запасной источник для задержки P99) и Loki (как собираются логи, неизвестно) оставлены как верхняя оценка до ответа владельца.</t>
        </is>
      </c>
    </row>
    <row r="10" ht="32" customHeight="1">
      <c r="B10" s="11" t="inlineStr">
        <is>
          <t>GPU в кластере</t>
        </is>
      </c>
      <c r="C10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кластеру: владелец решит только после проверки на реальных данных (цена не оценена); переключатель на листе «Sizing».</t>
        </is>
      </c>
    </row>
    <row r="11" ht="32" customHeight="1">
      <c r="B11" s="11" t="inlineStr">
        <is>
          <t>Узлы</t>
        </is>
      </c>
      <c r="C11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 Число узлов общего пула на MVP на 24 сентября 2026 находится на границе округления: расчётная нагрузка 11,2 vCPU при допустимых 11,2 на двух узлах; любое допущение, выросшее на 0,1 vCPU, добавляет узел (итог 6 вместо 5).</t>
        </is>
      </c>
    </row>
    <row r="12">
      <c r="B12" s="11" t="inlineStr">
        <is>
          <t>GPU-узел в кластере (1 — есть, 0 — нет)</t>
        </is>
      </c>
      <c r="C12" s="51" t="n">
        <v>0</v>
      </c>
    </row>
    <row r="14">
      <c r="D14" s="52" t="inlineStr">
        <is>
          <t>MVP</t>
        </is>
      </c>
      <c r="M14" s="52" t="inlineStr">
        <is>
          <t>Тираж</t>
        </is>
      </c>
    </row>
    <row r="15">
      <c r="A15" s="5" t="inlineStr">
        <is>
          <t>№</t>
        </is>
      </c>
      <c r="B15" s="5" t="inlineStr">
        <is>
          <t>Пул</t>
        </is>
      </c>
      <c r="C15" s="5" t="inlineStr">
        <is>
          <t>Компонент</t>
        </is>
      </c>
      <c r="D15" s="5" t="inlineStr">
        <is>
          <t>Реплик</t>
        </is>
      </c>
      <c r="E15" s="5" t="inlineStr">
        <is>
          <t>vCPU на под</t>
        </is>
      </c>
      <c r="F15" s="5" t="inlineStr">
        <is>
          <t>ОЗУ, ГиБ на под</t>
        </is>
      </c>
      <c r="G15" s="5" t="inlineStr">
        <is>
          <t>Диск, ГиБ на под</t>
        </is>
      </c>
      <c r="H15" s="5" t="inlineStr">
        <is>
          <t>Видеопамять, ГиБ на под</t>
        </is>
      </c>
      <c r="I15" s="5" t="inlineStr">
        <is>
          <t>vCPU всего</t>
        </is>
      </c>
      <c r="J15" s="5" t="inlineStr">
        <is>
          <t>ОЗУ всего, ГиБ</t>
        </is>
      </c>
      <c r="K15" s="5" t="inlineStr">
        <is>
          <t>Диск всего, ГиБ</t>
        </is>
      </c>
      <c r="L15" s="5" t="inlineStr">
        <is>
          <t>Видеопамять всего, ГиБ</t>
        </is>
      </c>
      <c r="M15" s="5" t="inlineStr">
        <is>
          <t>Реплик</t>
        </is>
      </c>
      <c r="N15" s="5" t="inlineStr">
        <is>
          <t>vCPU на под</t>
        </is>
      </c>
      <c r="O15" s="5" t="inlineStr">
        <is>
          <t>ОЗУ, ГиБ на под</t>
        </is>
      </c>
      <c r="P15" s="5" t="inlineStr">
        <is>
          <t>Диск, ГиБ на под</t>
        </is>
      </c>
      <c r="Q15" s="5" t="inlineStr">
        <is>
          <t>Видеопамять, ГиБ на под</t>
        </is>
      </c>
      <c r="R15" s="5" t="inlineStr">
        <is>
          <t>vCPU всего</t>
        </is>
      </c>
      <c r="S15" s="5" t="inlineStr">
        <is>
          <t>ОЗУ всего, ГиБ</t>
        </is>
      </c>
      <c r="T15" s="5" t="inlineStr">
        <is>
          <t>Диск всего, ГиБ</t>
        </is>
      </c>
      <c r="U15" s="5" t="inlineStr">
        <is>
          <t>Видеопамять всего, ГиБ</t>
        </is>
      </c>
      <c r="V15" s="5" t="inlineStr">
        <is>
          <t>Основание</t>
        </is>
      </c>
    </row>
    <row r="16" ht="30" customHeight="1">
      <c r="A16" s="50" t="n">
        <v>1</v>
      </c>
      <c r="B16" s="9" t="inlineStr">
        <is>
          <t>general</t>
        </is>
      </c>
      <c r="C16" s="11" t="inlineStr">
        <is>
          <t>Ingress (nginx)</t>
        </is>
      </c>
      <c r="D16" s="51" t="n">
        <v>2</v>
      </c>
      <c r="E16" s="51" t="n">
        <v>0.25</v>
      </c>
      <c r="F16" s="51" t="n">
        <v>0.25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0.25</v>
      </c>
      <c r="O16" s="51" t="n">
        <v>0.25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Внешний трафик — единицы запросов в секунду.</t>
        </is>
      </c>
    </row>
    <row r="17" ht="30" customHeight="1">
      <c r="A17" s="50" t="n">
        <v>2</v>
      </c>
      <c r="B17" s="9" t="inlineStr">
        <is>
          <t>general</t>
        </is>
      </c>
      <c r="C17" s="11" t="inlineStr">
        <is>
          <t>AI-виджет (статические файлы)</t>
        </is>
      </c>
      <c r="D17" s="51" t="n">
        <v>2</v>
      </c>
      <c r="E17" s="51" t="n">
        <v>0.1</v>
      </c>
      <c r="F17" s="51" t="n">
        <v>0.1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2</v>
      </c>
      <c r="N17" s="51" t="n">
        <v>0.1</v>
      </c>
      <c r="O17" s="51" t="n">
        <v>0.1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На стенде три статических файла.</t>
        </is>
      </c>
    </row>
    <row r="18" ht="30" customHeight="1">
      <c r="A18" s="50" t="n">
        <v>3</v>
      </c>
      <c r="B18" s="9" t="inlineStr">
        <is>
          <t>general</t>
        </is>
      </c>
      <c r="C18" s="11" t="inlineStr">
        <is>
          <t>Backend (API, классификация, поиск, сборка ответа)</t>
        </is>
      </c>
      <c r="D18" s="51" t="n">
        <v>2</v>
      </c>
      <c r="E18" s="51" t="n">
        <v>0.5</v>
      </c>
      <c r="F18" s="51" t="n">
        <v>0.5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9" ht="45" customHeight="1">
      <c r="A19" s="50" t="n">
        <v>4</v>
      </c>
      <c r="B19" s="9" t="inlineStr">
        <is>
          <t>general</t>
        </is>
      </c>
      <c r="C19" s="11" t="inlineStr">
        <is>
          <t>LLM Gateway (лимиты, обезличивание, проверка ответа)</t>
        </is>
      </c>
      <c r="D19" s="51" t="n">
        <v>2</v>
      </c>
      <c r="E19" s="51" t="n">
        <v>0.5</v>
      </c>
      <c r="F19" s="51" t="n">
        <v>1.5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3</v>
      </c>
      <c r="N19" s="51" t="n">
        <v>1</v>
      </c>
      <c r="O19" s="51" t="n">
        <v>1.5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20" ht="30" customHeight="1">
      <c r="A20" s="50" t="n">
        <v>5</v>
      </c>
      <c r="B20" s="9" t="inlineStr">
        <is>
          <t>general</t>
        </is>
      </c>
      <c r="C20" s="11" t="inlineStr">
        <is>
          <t>Billing Adapter, оркестратор записи (Этап 2)</t>
        </is>
      </c>
      <c r="D20" s="51" t="n">
        <v>2</v>
      </c>
      <c r="E20" s="51" t="n">
        <v>0.25</v>
      </c>
      <c r="F20" s="51" t="n">
        <v>0.25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0.25</v>
      </c>
      <c r="O20" s="51" t="n">
        <v>0.25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1" ht="30" customHeight="1">
      <c r="A21" s="50" t="n">
        <v>6</v>
      </c>
      <c r="B21" s="9" t="inlineStr">
        <is>
          <t>general</t>
        </is>
      </c>
      <c r="C21" s="11" t="inlineStr">
        <is>
          <t>Document Generator (PDF, Этап 2)</t>
        </is>
      </c>
      <c r="D21" s="51" t="n">
        <v>1</v>
      </c>
      <c r="E21" s="51" t="n">
        <v>0.5</v>
      </c>
      <c r="F21" s="51" t="n">
        <v>1</v>
      </c>
      <c r="G21" s="51" t="n">
        <v>0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 t="n">
        <v>2</v>
      </c>
      <c r="N21" s="51" t="n">
        <v>0.5</v>
      </c>
      <c r="O21" s="51" t="n">
        <v>1</v>
      </c>
      <c r="P21" s="51" t="n">
        <v>0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Библиотека PDF не выбрана; ≈1 бланк на диалог с записью (до 31 500 в месяц на тираже).</t>
        </is>
      </c>
    </row>
    <row r="22" ht="30" customHeight="1">
      <c r="A22" s="50" t="n">
        <v>7</v>
      </c>
      <c r="B22" s="9" t="inlineStr">
        <is>
          <t>general</t>
        </is>
      </c>
      <c r="C22" s="11" t="inlineStr">
        <is>
          <t>ETL индексации (CronJob, окно 02:00–05:00) [вариант с GPU]</t>
        </is>
      </c>
      <c r="D22" s="51">
        <f>1*$C$12</f>
        <v/>
      </c>
      <c r="E22" s="51" t="n">
        <v>1</v>
      </c>
      <c r="F22" s="51" t="n">
        <v>2</v>
      </c>
      <c r="G22" s="51" t="n">
        <v>5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>
        <f>1*$C$12</f>
        <v/>
      </c>
      <c r="N22" s="51" t="n">
        <v>1</v>
      </c>
      <c r="O22" s="51" t="n">
        <v>2</v>
      </c>
      <c r="P22" s="51" t="n">
        <v>5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3" ht="30" customHeight="1">
      <c r="A23" s="50" t="n">
        <v>8</v>
      </c>
      <c r="B23" s="9" t="inlineStr">
        <is>
          <t>general</t>
        </is>
      </c>
      <c r="C23" s="11" t="inlineStr">
        <is>
          <t>Оценка качества (CronJob, ночной прогон)</t>
        </is>
      </c>
      <c r="D23" s="51" t="n">
        <v>1</v>
      </c>
      <c r="E23" s="51" t="n">
        <v>0.5</v>
      </c>
      <c r="F23" s="51" t="n">
        <v>1</v>
      </c>
      <c r="G23" s="51" t="n">
        <v>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Допущение. Ходит во внешний API судьи; локальной нагрузки почти нет.</t>
        </is>
      </c>
    </row>
    <row r="24" ht="30" customHeight="1">
      <c r="A24" s="50" t="n">
        <v>9</v>
      </c>
      <c r="B24" s="9" t="inlineStr">
        <is>
          <t>general</t>
        </is>
      </c>
      <c r="C24" s="11" t="inlineStr">
        <is>
          <t>Prometheus</t>
        </is>
      </c>
      <c r="D24" s="51" t="n">
        <v>1</v>
      </c>
      <c r="E24" s="51" t="n">
        <v>0.5</v>
      </c>
      <c r="F24" s="51" t="n">
        <v>1</v>
      </c>
      <c r="G24" s="51" t="n">
        <v>10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0.5</v>
      </c>
      <c r="O24" s="51" t="n">
        <v>1</v>
      </c>
      <c r="P24" s="51" t="n">
        <v>10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5" ht="45" customHeight="1">
      <c r="A25" s="50" t="n">
        <v>10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60" customHeight="1">
      <c r="A26" s="50" t="n">
        <v>11</v>
      </c>
      <c r="B26" s="9" t="inlineStr">
        <is>
          <t>data</t>
        </is>
      </c>
      <c r="C26" s="11" t="inlineStr">
        <is>
          <t>Qdrant</t>
        </is>
      </c>
      <c r="D26" s="51" t="n">
        <v>1</v>
      </c>
      <c r="E26" s="51" t="n">
        <v>1</v>
      </c>
      <c r="F26" s="51" t="n">
        <v>2</v>
      </c>
      <c r="G26" s="51" t="n">
        <v>10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2</v>
      </c>
      <c r="N26" s="51" t="n">
        <v>1</v>
      </c>
      <c r="O26" s="51" t="n">
        <v>2</v>
      </c>
      <c r="P26" s="51" t="n">
        <v>10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7" ht="90" customHeight="1">
      <c r="A27" s="50" t="n">
        <v>12</v>
      </c>
      <c r="B27" s="9" t="inlineStr">
        <is>
          <t>data</t>
        </is>
      </c>
      <c r="C27" s="11" t="inlineStr">
        <is>
          <t>Postgres (обращения, профиль, телеметрия, журнал диалогов)</t>
        </is>
      </c>
      <c r="D27" s="51" t="n">
        <v>1</v>
      </c>
      <c r="E27" s="51" t="n">
        <v>1</v>
      </c>
      <c r="F27" s="51" t="n">
        <v>2</v>
      </c>
      <c r="G27" s="51" t="n">
        <v>20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50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8" ht="45" customHeight="1">
      <c r="A28" s="50" t="n">
        <v>13</v>
      </c>
      <c r="B28" s="9" t="inlineStr">
        <is>
          <t>data</t>
        </is>
      </c>
      <c r="C28" s="11" t="inlineStr">
        <is>
          <t>Redis (квоты и сессии)</t>
        </is>
      </c>
      <c r="D28" s="51" t="n">
        <v>1</v>
      </c>
      <c r="E28" s="51" t="n">
        <v>0.1</v>
      </c>
      <c r="F28" s="51" t="n">
        <v>0.25</v>
      </c>
      <c r="G28" s="51" t="n">
        <v>1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0.1</v>
      </c>
      <c r="O28" s="51" t="n">
        <v>0.25</v>
      </c>
      <c r="P28" s="51" t="n">
        <v>1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29" ht="45" customHeight="1">
      <c r="A29" s="50" t="n">
        <v>14</v>
      </c>
      <c r="B29" s="9" t="inlineStr">
        <is>
          <t>data</t>
        </is>
      </c>
      <c r="C29" s="11" t="inlineStr">
        <is>
          <t>MinIO (документы, копии, снимки)</t>
        </is>
      </c>
      <c r="D29" s="51" t="n">
        <v>1</v>
      </c>
      <c r="E29" s="51" t="n">
        <v>0.25</v>
      </c>
      <c r="F29" s="51" t="n">
        <v>0.5</v>
      </c>
      <c r="G29" s="51" t="n">
        <v>100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1</v>
      </c>
      <c r="N29" s="51" t="n">
        <v>0.5</v>
      </c>
      <c r="O29" s="51" t="n">
        <v>1</v>
      </c>
      <c r="P29" s="51" t="n">
        <v>400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0" ht="30" customHeight="1">
      <c r="A30" s="50" t="n">
        <v>15</v>
      </c>
      <c r="B30" s="9" t="inlineStr">
        <is>
          <t>gpu</t>
        </is>
      </c>
      <c r="C30" s="11" t="inlineStr">
        <is>
          <t>Эмбеддинги (BGE-M3, inference) [вариант с GPU]</t>
        </is>
      </c>
      <c r="D30" s="51">
        <f>1*$C$12</f>
        <v/>
      </c>
      <c r="E30" s="51" t="n">
        <v>1</v>
      </c>
      <c r="F30" s="51" t="n">
        <v>4</v>
      </c>
      <c r="G30" s="51" t="n">
        <v>5</v>
      </c>
      <c r="H30" s="51" t="n">
        <v>2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>
        <f>1*$C$12</f>
        <v/>
      </c>
      <c r="N30" s="51" t="n">
        <v>1</v>
      </c>
      <c r="O30" s="51" t="n">
        <v>4</v>
      </c>
      <c r="P30" s="51" t="n">
        <v>5</v>
      </c>
      <c r="Q30" s="51" t="n">
        <v>2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1" ht="30" customHeight="1">
      <c r="A31" s="50" t="n">
        <v>16</v>
      </c>
      <c r="B31" s="9" t="inlineStr">
        <is>
          <t>gpu</t>
        </is>
      </c>
      <c r="C31" s="11" t="inlineStr">
        <is>
          <t>Реранкер (BGE-reranker-v2-m3, inference) [вариант с GPU]</t>
        </is>
      </c>
      <c r="D31" s="51">
        <f>1*$C$12</f>
        <v/>
      </c>
      <c r="E31" s="51" t="n">
        <v>1</v>
      </c>
      <c r="F31" s="51" t="n">
        <v>3</v>
      </c>
      <c r="G31" s="51" t="n">
        <v>3</v>
      </c>
      <c r="H31" s="51" t="n">
        <v>1.5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1*$C$12</f>
        <v/>
      </c>
      <c r="N31" s="51" t="n">
        <v>1</v>
      </c>
      <c r="O31" s="51" t="n">
        <v>3</v>
      </c>
      <c r="P31" s="51" t="n">
        <v>3</v>
      </c>
      <c r="Q31" s="51" t="n">
        <v>1.5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2" ht="30" customHeight="1">
      <c r="A32" s="50" t="n">
        <v>17</v>
      </c>
      <c r="B32" s="9" t="inlineStr">
        <is>
          <t>gpu-llm</t>
        </is>
      </c>
      <c r="C32" s="11" t="inlineStr">
        <is>
          <t>Собственная модель (Qwen2.5-32B INT4, vLLM) — по триггеру</t>
        </is>
      </c>
      <c r="D32" s="51" t="n">
        <v>0</v>
      </c>
      <c r="E32" s="51" t="n">
        <v>8</v>
      </c>
      <c r="F32" s="51" t="n">
        <v>64</v>
      </c>
      <c r="G32" s="51" t="n">
        <v>100</v>
      </c>
      <c r="H32" s="51" t="n">
        <v>0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 t="n">
        <v>1</v>
      </c>
      <c r="N32" s="51" t="n">
        <v>8</v>
      </c>
      <c r="O32" s="51" t="n">
        <v>64</v>
      </c>
      <c r="P32" s="51" t="n">
        <v>100</v>
      </c>
      <c r="Q32" s="51" t="n">
        <v>40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 ht="45" customHeight="1">
      <c r="A33" s="50" t="n">
        <v>18</v>
      </c>
      <c r="B33" s="9" t="inlineStr">
        <is>
          <t>general</t>
        </is>
      </c>
      <c r="C33" s="11" t="inlineStr">
        <is>
          <t>Эмбеддинги (e5-small на CPU) [вариант без GPU]</t>
        </is>
      </c>
      <c r="D33" s="51">
        <f>2*(1-$C$12)</f>
        <v/>
      </c>
      <c r="E33" s="51" t="n">
        <v>1</v>
      </c>
      <c r="F33" s="51" t="n">
        <v>1.5</v>
      </c>
      <c r="G33" s="51" t="n">
        <v>2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>
        <f>2*(1-$C$12)</f>
        <v/>
      </c>
      <c r="N33" s="51" t="n">
        <v>1</v>
      </c>
      <c r="O33" s="51" t="n">
        <v>1.5</v>
      </c>
      <c r="P33" s="51" t="n">
        <v>2</v>
      </c>
      <c r="Q33" s="51" t="n">
        <v>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4" ht="45" customHeight="1">
      <c r="A34" s="50" t="n">
        <v>19</v>
      </c>
      <c r="B34" s="9" t="inlineStr">
        <is>
          <t>general</t>
        </is>
      </c>
      <c r="C34" s="11" t="inlineStr">
        <is>
          <t>ETL индексации: эмбеддинги на CPU (CronJob) [вариант без GPU]</t>
        </is>
      </c>
      <c r="D34" s="51">
        <f>1*(1-$C$12)</f>
        <v/>
      </c>
      <c r="E34" s="51" t="n">
        <v>4</v>
      </c>
      <c r="F34" s="51" t="n">
        <v>4</v>
      </c>
      <c r="G34" s="51" t="n">
        <v>5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1*(1-$C$12)</f>
        <v/>
      </c>
      <c r="N34" s="51" t="n">
        <v>4</v>
      </c>
      <c r="O34" s="51" t="n">
        <v>4</v>
      </c>
      <c r="P34" s="51" t="n">
        <v>5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6">
      <c r="C36" s="43" t="inlineStr">
        <is>
          <t>Итог по пулам узлов</t>
        </is>
      </c>
      <c r="P36" s="9" t="inlineStr">
        <is>
          <t>Загрузка узла по запросам, не выше</t>
        </is>
      </c>
      <c r="Q36" s="54" t="n">
        <v>0.7</v>
      </c>
    </row>
    <row r="37">
      <c r="B37" s="5" t="inlineStr">
        <is>
          <t>Пул</t>
        </is>
      </c>
      <c r="C37" s="5" t="inlineStr">
        <is>
          <t>Класс узла</t>
        </is>
      </c>
      <c r="D37" s="5" t="inlineStr">
        <is>
          <t>vCPU узла</t>
        </is>
      </c>
      <c r="E37" s="5" t="inlineStr">
        <is>
          <t>ОЗУ узла, ГиБ</t>
        </is>
      </c>
      <c r="F37" s="5" t="inlineStr">
        <is>
          <t>Видеопамять узла, ГиБ</t>
        </is>
      </c>
      <c r="G37" s="5" t="inlineStr">
        <is>
          <t>Запас на потерю узла (1 — да)</t>
        </is>
      </c>
      <c r="H37" s="5" t="inlineStr">
        <is>
          <t>MVP: vCPU</t>
        </is>
      </c>
      <c r="I37" s="5" t="inlineStr">
        <is>
          <t>MVP: ОЗУ</t>
        </is>
      </c>
      <c r="J37" s="5" t="inlineStr">
        <is>
          <t>MVP: видеопамять</t>
        </is>
      </c>
      <c r="K37" s="5" t="inlineStr">
        <is>
          <t>MVP: узлов</t>
        </is>
      </c>
      <c r="L37" s="5" t="inlineStr">
        <is>
          <t>Тираж: vCPU</t>
        </is>
      </c>
      <c r="M37" s="5" t="inlineStr">
        <is>
          <t>Тираж: ОЗУ</t>
        </is>
      </c>
      <c r="N37" s="5" t="inlineStr">
        <is>
          <t>Тираж: видеопамять</t>
        </is>
      </c>
      <c r="O37" s="5" t="inlineStr">
        <is>
          <t>Тираж: узлов</t>
        </is>
      </c>
    </row>
    <row r="38">
      <c r="B38" s="11" t="inlineStr">
        <is>
          <t>general</t>
        </is>
      </c>
      <c r="C38" s="9" t="inlineStr">
        <is>
          <t>Общий пул (платформа, приложение, наблюдаемость)</t>
        </is>
      </c>
      <c r="D38" s="10" t="n">
        <v>8</v>
      </c>
      <c r="E38" s="10" t="n">
        <v>16</v>
      </c>
      <c r="F38" s="10" t="n">
        <v>0</v>
      </c>
      <c r="G38" s="10" t="n">
        <v>1</v>
      </c>
      <c r="H38" s="55">
        <f>SUMIF($B$16:$B$34,$B38,$I$16:$I$34)</f>
        <v/>
      </c>
      <c r="I38" s="55">
        <f>SUMIF($B$16:$B$34,$B38,$J$16:$J$34)</f>
        <v/>
      </c>
      <c r="J38" s="55">
        <f>SUMIF($B$16:$B$34,$B38,$L$16:$L$34)</f>
        <v/>
      </c>
      <c r="K38" s="56">
        <f>IF(H38=0,0,ROUNDUP(MAX(H38/($Q$36*$D38),I38/($Q$36*$E38),IF($F38&gt;0,J38/($Q$36*$F38),0)),0)+$G38)</f>
        <v/>
      </c>
      <c r="L38" s="55">
        <f>SUMIF($B$16:$B$34,$B38,$R$16:$R$34)</f>
        <v/>
      </c>
      <c r="M38" s="55">
        <f>SUMIF($B$16:$B$34,$B38,$S$16:$S$34)</f>
        <v/>
      </c>
      <c r="N38" s="55">
        <f>SUMIF($B$16:$B$34,$B38,$U$16:$U$34)</f>
        <v/>
      </c>
      <c r="O38" s="56">
        <f>IF(L38=0,0,ROUNDUP(MAX(L38/($Q$36*$D38),M38/($Q$36*$E38),IF($F38&gt;0,N38/($Q$36*$F38),0)),0)+$G38)</f>
        <v/>
      </c>
    </row>
    <row r="39">
      <c r="B39" s="11" t="inlineStr">
        <is>
          <t>data</t>
        </is>
      </c>
      <c r="C39" s="9" t="inlineStr">
        <is>
          <t>Пул данных (NVMe)</t>
        </is>
      </c>
      <c r="D39" s="10" t="n">
        <v>8</v>
      </c>
      <c r="E39" s="10" t="n">
        <v>32</v>
      </c>
      <c r="F39" s="10" t="n">
        <v>0</v>
      </c>
      <c r="G39" s="10" t="n">
        <v>1</v>
      </c>
      <c r="H39" s="55">
        <f>SUMIF($B$16:$B$34,$B39,$I$16:$I$34)</f>
        <v/>
      </c>
      <c r="I39" s="55">
        <f>SUMIF($B$16:$B$34,$B39,$J$16:$J$34)</f>
        <v/>
      </c>
      <c r="J39" s="55">
        <f>SUMIF($B$16:$B$34,$B39,$L$16:$L$34)</f>
        <v/>
      </c>
      <c r="K39" s="56">
        <f>IF(H39=0,0,ROUNDUP(MAX(H39/($Q$36*$D39),I39/($Q$36*$E39),IF($F39&gt;0,J39/($Q$36*$F39),0)),0)+$G39)</f>
        <v/>
      </c>
      <c r="L39" s="55">
        <f>SUMIF($B$16:$B$34,$B39,$R$16:$R$34)</f>
        <v/>
      </c>
      <c r="M39" s="55">
        <f>SUMIF($B$16:$B$34,$B39,$S$16:$S$34)</f>
        <v/>
      </c>
      <c r="N39" s="55">
        <f>SUMIF($B$16:$B$34,$B39,$U$16:$U$34)</f>
        <v/>
      </c>
      <c r="O39" s="56">
        <f>IF(L39=0,0,ROUNDUP(MAX(L39/($Q$36*$D39),M39/($Q$36*$E39),IF($F39&gt;0,N39/($Q$36*$F39),0)),0)+$G39)</f>
        <v/>
      </c>
    </row>
    <row r="40">
      <c r="B40" s="11" t="inlineStr">
        <is>
          <t>gpu</t>
        </is>
      </c>
      <c r="C40" s="9" t="inlineStr">
        <is>
          <t>GPU-пул (эмбеддинги, реранкер)</t>
        </is>
      </c>
      <c r="D40" s="10" t="n">
        <v>8</v>
      </c>
      <c r="E40" s="10" t="n">
        <v>32</v>
      </c>
      <c r="F40" s="10" t="n">
        <v>24</v>
      </c>
      <c r="G40" s="10" t="n">
        <v>0</v>
      </c>
      <c r="H40" s="55">
        <f>SUMIF($B$16:$B$34,$B40,$I$16:$I$34)</f>
        <v/>
      </c>
      <c r="I40" s="55">
        <f>SUMIF($B$16:$B$34,$B40,$J$16:$J$34)</f>
        <v/>
      </c>
      <c r="J40" s="55">
        <f>SUMIF($B$16:$B$34,$B40,$L$16:$L$34)</f>
        <v/>
      </c>
      <c r="K40" s="56">
        <f>IF(H40=0,0,ROUNDUP(MAX(H40/($Q$36*$D40),I40/($Q$36*$E40),IF($F40&gt;0,J40/($Q$36*$F40),0)),0)+$G40)</f>
        <v/>
      </c>
      <c r="L40" s="55">
        <f>SUMIF($B$16:$B$34,$B40,$R$16:$R$34)</f>
        <v/>
      </c>
      <c r="M40" s="55">
        <f>SUMIF($B$16:$B$34,$B40,$S$16:$S$34)</f>
        <v/>
      </c>
      <c r="N40" s="55">
        <f>SUMIF($B$16:$B$34,$B40,$U$16:$U$34)</f>
        <v/>
      </c>
      <c r="O40" s="56">
        <f>IF(L40=0,0,ROUNDUP(MAX(L40/($Q$36*$D40),M40/($Q$36*$E40),IF($F40&gt;0,N40/($Q$36*$F40),0)),0)+$G40)</f>
        <v/>
      </c>
    </row>
    <row r="41">
      <c r="B41" s="11" t="inlineStr">
        <is>
          <t>gpu-llm</t>
        </is>
      </c>
      <c r="C41" s="9" t="inlineStr">
        <is>
          <t>GPU-пул генерации (тираж)</t>
        </is>
      </c>
      <c r="D41" s="10" t="n">
        <v>16</v>
      </c>
      <c r="E41" s="10" t="n">
        <v>128</v>
      </c>
      <c r="F41" s="10" t="n">
        <v>80</v>
      </c>
      <c r="G41" s="10" t="n">
        <v>0</v>
      </c>
      <c r="H41" s="55">
        <f>SUMIF($B$16:$B$34,$B41,$I$16:$I$34)</f>
        <v/>
      </c>
      <c r="I41" s="55">
        <f>SUMIF($B$16:$B$34,$B41,$J$16:$J$34)</f>
        <v/>
      </c>
      <c r="J41" s="55">
        <f>SUMIF($B$16:$B$34,$B41,$L$16:$L$34)</f>
        <v/>
      </c>
      <c r="K41" s="56">
        <f>IF(H41=0,0,ROUNDUP(MAX(H41/($Q$36*$D41),I41/($Q$36*$E41),IF($F41&gt;0,J41/($Q$36*$F41),0)),0)+$G41)</f>
        <v/>
      </c>
      <c r="L41" s="55">
        <f>SUMIF($B$16:$B$34,$B41,$R$16:$R$34)</f>
        <v/>
      </c>
      <c r="M41" s="55">
        <f>SUMIF($B$16:$B$34,$B41,$S$16:$S$34)</f>
        <v/>
      </c>
      <c r="N41" s="55">
        <f>SUMIF($B$16:$B$34,$B41,$U$16:$U$34)</f>
        <v/>
      </c>
      <c r="O41" s="56">
        <f>IF(L41=0,0,ROUNDUP(MAX(L41/($Q$36*$D41),M41/($Q$36*$E41),IF($F41&gt;0,N41/($Q$36*$F41),0)),0)+$G41)</f>
        <v/>
      </c>
    </row>
    <row r="42">
      <c r="B42" s="11" t="inlineStr">
        <is>
          <t>Итого узлов</t>
        </is>
      </c>
      <c r="K42" s="57">
        <f>SUM(K38:K41)</f>
        <v/>
      </c>
      <c r="O42" s="57">
        <f>SUM(O38:O41)</f>
        <v/>
      </c>
    </row>
    <row r="43">
      <c r="B43" s="11" t="inlineStr">
        <is>
          <t>Диск под тома, ГиБ</t>
        </is>
      </c>
      <c r="K43" s="58">
        <f>SUM($K$16:$K$34)</f>
        <v/>
      </c>
      <c r="O43" s="58">
        <f>SUM($T$16:$T$34)</f>
        <v/>
      </c>
    </row>
    <row r="45">
      <c r="B45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11">
    <mergeCell ref="C4:U4"/>
    <mergeCell ref="C11:U11"/>
    <mergeCell ref="C5:U5"/>
    <mergeCell ref="M14:U14"/>
    <mergeCell ref="D14:L14"/>
    <mergeCell ref="C8:U8"/>
    <mergeCell ref="C9:U9"/>
    <mergeCell ref="C3:U3"/>
    <mergeCell ref="C7:U7"/>
    <mergeCell ref="C6:U6"/>
    <mergeCell ref="C10:U10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2026-09-24T19:11:04Z</dcterms:created>
  <dcterms:modified xmlns:dcterms="http://purl.org/dc/terms/" xmlns:xsi="http://www.w3.org/2001/XMLSchema-instance" xsi:type="dcterms:W3CDTF">2026-09-24T19:11:04Z</dcterms:modified>
</cp:coreProperties>
</file>