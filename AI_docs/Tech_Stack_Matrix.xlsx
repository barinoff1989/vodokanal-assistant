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16 компонентов, секреты (Kubernetes Secret из GitLab CI variables).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— владельца (не наш контейнер); отдельные контейнеры Prometheus, Loki, Alertmanager — верхняя оценка до ответа владельца (MVP)</t>
        </is>
      </c>
      <c r="E24" s="9" t="inlineStr">
        <is>
          <t>prometheus-client (метрики на отдельном порту 9100); MVP — Grafana владельца, дашборды и алерты как код; источник данных и Prometheus, Loki, Alertmanager — по ответу владельца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 и алертов нет.</t>
        </is>
      </c>
      <c r="G24" s="9" t="inlineStr">
        <is>
          <t>Решение заказчика проекта (24.09.2026, со слов): в реальном контуре используется Grafana — своя не разворачивается. Варианты по источнику данных: A — Prometheus владельца, B — свой Prometheus как источник для их Grafana, C — Zabbix как источник, D — своя четвёрка (прежний выбор, запасной). ELK/OpenSearch отклонён как тяжёлый, облачный мониторинг — из-за 152-ФЗ. Прежнее «Zabbix отклонён: ориентирован на хосты» не проверялось. Сравнение по документации; пробного развёртывания не было.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Неизвестно, какие источники подключены к Grafana владельца, есть ли Prometheus, собирающий метрики подов, есть ли Alertmanager и как собираются логи; как принимаются дашборды. Метрики есть, но собирать и показывать их нечему.</t>
        </is>
      </c>
      <c r="J24" s="9" t="inlineStr">
        <is>
          <t>Дашборды нашего сервиса как код (JSON, импорт в Grafana владельца): 5 Golden Signals и 8 метрик ИИ; правила 9 алертов как код; правило сбора метрик с порта 9100 (ServiceMonitor или аннотации) либо свой Prometheus как источник; в логах только отчёт об обезличивании, без значений ПДн. Оценка не пересматривалась: развёртывание своей Grafana отпало, но добавились согласование и интеграция с чужой.</t>
        </is>
      </c>
      <c r="K24" s="9" t="inlineStr">
        <is>
          <t>Grafana владельца; prometheus-client (порт 9100); источник данных и Prometheus, Loki, Alertmanager — по ответу владельца (для расчёта узлов оставлены как верхняя оценка, без Grafana).</t>
        </is>
      </c>
      <c r="L24" s="9" t="inlineStr">
        <is>
          <t>Без этого нельзя измерять задержку ответа (P99), долю отказов и утечки ПДн на реальных абонентах; Grafana уже есть у владельца, дублировать её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Grafana в расчёт не входит: в реальном контуре используется Grafana владельца (решение заказчика проекта, со слов). Prometheus, Loki и Alertmanager оставлены как верхняя оценка до ответа владельца, какие источники данных у него подключены; если у него они есть, эти поды из расчёта уходят.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11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12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13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15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1*$C$12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17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1*$C$12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1*$C$12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18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2*(1-$C$12)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2*(1-$C$12)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20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1*(1-$C$12)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1*(1-$C$12)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SUMIF($B$16:$B$35,$B39,$I$16:$I$35)</f>
        <v/>
      </c>
      <c r="I39" s="55">
        <f>SUMIF($B$16:$B$35,$B39,$J$16:$J$35)</f>
        <v/>
      </c>
      <c r="J39" s="55">
        <f>SUMIF($B$16:$B$35,$B39,$L$16:$L$35)</f>
        <v/>
      </c>
      <c r="K39" s="56">
        <f>IF(H39=0,0,ROUNDUP(MAX(H39/($Q$37*$D39),I39/($Q$37*$E39),IF($F39&gt;0,J39/($Q$37*$F39),0)),0)+$G39)</f>
        <v/>
      </c>
      <c r="L39" s="55">
        <f>SUMIF($B$16:$B$35,$B39,$R$16:$R$35)</f>
        <v/>
      </c>
      <c r="M39" s="55">
        <f>SUMIF($B$16:$B$35,$B39,$S$16:$S$35)</f>
        <v/>
      </c>
      <c r="N39" s="55">
        <f>SUMIF($B$16:$B$35,$B39,$U$16:$U$35)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SUMIF($B$16:$B$35,$B40,$I$16:$I$35)</f>
        <v/>
      </c>
      <c r="I40" s="55">
        <f>SUMIF($B$16:$B$35,$B40,$J$16:$J$35)</f>
        <v/>
      </c>
      <c r="J40" s="55">
        <f>SUMIF($B$16:$B$35,$B40,$L$16:$L$35)</f>
        <v/>
      </c>
      <c r="K40" s="56">
        <f>IF(H40=0,0,ROUNDUP(MAX(H40/($Q$37*$D40),I40/($Q$37*$E40),IF($F40&gt;0,J40/($Q$37*$F40),0)),0)+$G40)</f>
        <v/>
      </c>
      <c r="L40" s="55">
        <f>SUMIF($B$16:$B$35,$B40,$R$16:$R$35)</f>
        <v/>
      </c>
      <c r="M40" s="55">
        <f>SUMIF($B$16:$B$35,$B40,$S$16:$S$35)</f>
        <v/>
      </c>
      <c r="N40" s="55">
        <f>SUMIF($B$16:$B$35,$B40,$U$16:$U$35)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SUMIF($B$16:$B$35,$B41,$I$16:$I$35)</f>
        <v/>
      </c>
      <c r="I41" s="55">
        <f>SUMIF($B$16:$B$35,$B41,$J$16:$J$35)</f>
        <v/>
      </c>
      <c r="J41" s="55">
        <f>SUMIF($B$16:$B$35,$B41,$L$16:$L$35)</f>
        <v/>
      </c>
      <c r="K41" s="56">
        <f>IF(H41=0,0,ROUNDUP(MAX(H41/($Q$37*$D41),I41/($Q$37*$E41),IF($F41&gt;0,J41/($Q$37*$F41),0)),0)+$G41)</f>
        <v/>
      </c>
      <c r="L41" s="55">
        <f>SUMIF($B$16:$B$35,$B41,$R$16:$R$35)</f>
        <v/>
      </c>
      <c r="M41" s="55">
        <f>SUMIF($B$16:$B$35,$B41,$S$16:$S$35)</f>
        <v/>
      </c>
      <c r="N41" s="55">
        <f>SUMIF($B$16:$B$35,$B41,$U$16:$U$35)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SUMIF($B$16:$B$35,$B42,$I$16:$I$35)</f>
        <v/>
      </c>
      <c r="I42" s="55">
        <f>SUMIF($B$16:$B$35,$B42,$J$16:$J$35)</f>
        <v/>
      </c>
      <c r="J42" s="55">
        <f>SUMIF($B$16:$B$35,$B42,$L$16:$L$35)</f>
        <v/>
      </c>
      <c r="K42" s="56">
        <f>IF(H42=0,0,ROUNDUP(MAX(H42/($Q$37*$D42),I42/($Q$37*$E42),IF($F42&gt;0,J42/($Q$37*$F42),0)),0)+$G42)</f>
        <v/>
      </c>
      <c r="L42" s="55">
        <f>SUMIF($B$16:$B$35,$B42,$R$16:$R$35)</f>
        <v/>
      </c>
      <c r="M42" s="55">
        <f>SUMIF($B$16:$B$35,$B42,$S$16:$S$35)</f>
        <v/>
      </c>
      <c r="N42" s="55">
        <f>SUMIF($B$16:$B$35,$B42,$U$16:$U$35)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SUM($K$16:$K$35)</f>
        <v/>
      </c>
      <c r="O44" s="58">
        <f>SUM($T$16:$T$35)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2026-09-24T19:06:19Z</dcterms:created>
  <dcterms:modified xmlns:dcterms="http://purl.org/dc/terms/" xmlns:xsi="http://www.w3.org/2001/XMLSchema-instance" xsi:type="dcterms:W3CDTF">2026-09-24T19:06:19Z</dcterms:modified>
</cp:coreProperties>
</file>