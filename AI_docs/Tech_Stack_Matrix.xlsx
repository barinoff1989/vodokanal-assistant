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'Матрица'!$A$2:$V$43</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9"/>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агент переводится на LangGraph (триггер 4,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Собственная модель в закрытом контуре, внешние API остаются до срабатывания триггера.</t>
        </is>
      </c>
      <c r="Q9" s="9" t="inlineStr">
        <is>
          <t>Qwen2.5-32B INT4, vLLM, 1× GPU A100 80 ГБ.</t>
        </is>
      </c>
      <c r="R9" s="9" t="inlineStr">
        <is>
          <t>Включается по триггеру (нагрузка, требование ИБ отказаться от внешних API, падение SLA провайдера), не по дате.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(последний замер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Другие реранкеры (jina-reranker-v2, mMiniLM, bge-reranker-v2-gemma) не измерялись.</t>
        </is>
      </c>
      <c r="H11" s="9" t="inlineStr">
        <is>
          <t>ADR-300, раздел 3 «Переранжирование» и подраздел «Почему BGE-reranker-v2-m3 — кандидат для MVP и что будет сравниваться»; офлайн-роль — там же, подраздел «Офлайн-роль при индексации: отсев дублей (не решено)»;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 Отдельной офлайн-модели не выбрано: на схеме ETL указана та же BGE-reranker-v2-m3 (блок «Reranker Client (offline)» после блока «Quality &amp; Dedup Filter»: MinHash/SimHash, Жаккар ≥ 0,9, quality_score). Расчёт по замеру: 7,2 с на 20 кандидатов ≈ 0,36 с на пару, за окно 3 ч ≈ 30 000 пар; на паре «фрагмент — фрагмент» время не измерялось. Варианты отсева: quality_score, центроид, кросс-энкодер, косинусный порог (ADR-300, раздел 3); доля дублей в корпусе не измерялась.</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(2–3 чел-дн): доля кластеров дублей на реальных документах, четыре способа выбора представителя (quality_score, центроид, кросс-энкодер, косинусный порог), проверка экспертом, что нужный текст не потерян; при неподтверждении кросс-энкодера офлайн-роль снимается, отсев строится на остальных способах; состав работы — предложение автора от 25.09.2026, порог «заметно лучше» не определён.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Данные абонента (чтение из Биллинга и Диспетчерской)</t>
        </is>
      </c>
      <c r="D13" s="9" t="inlineStr">
        <is>
          <t>Backend (читает); Биллинг и Диспетчерская (источники, внешние); Redis (кэш — только после замера)</t>
        </is>
      </c>
      <c r="E13" s="9" t="inlineStr">
        <is>
          <t>Прототип: словари в памяти процесса из CSV. MVP: клиенты XML-RPC (Биллинг) и REST (Диспетчерская) в Backend, параллельные вызовы, таймауты и повторы; без Postgres-представления; кэш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данных абонента на прототипе не используются. Источник стоит за интерфейсом, на MVP его заменяет клиент к настоящим API (оценка автора, не проверялось).</t>
        </is>
      </c>
      <c r="G13" s="9" t="inlineStr">
        <is>
          <t>Заказчик проекта 25.09.2026: данные абонента нужны онлайн из систем. Поэтому основной путь — чтение из Биллинга (XML-RPC) и Диспетчерской (REST) на каждый вопрос; вызовы параллельные, только за нужными данными; при отказе системы — ответ «данных сейчас нет», без подстановки старых. Отклонены: слепок в памяти (данные не обновляются, у реплик разный возраст), предрасчёт по расписанию в материализованном представлении Postgres (был в плане; данные отстают на период пересчёта), Feature Store (Feast/Tecton — избыточен и свежесть не решает). Кэш Redis с коротким сроком жизни — только после замера: включается, если время вызова API не укладывается в бюджет ответа либо лимиты владельца ниже нагрузки. Задержка и лимиты API не измерялись (доступа нет). Сравнение по требованиям и документации, не по пробному внедрению.</t>
        </is>
      </c>
      <c r="H13" s="9" t="inlineStr">
        <is>
          <t>ADR-200, раздел «Сравнение вариантов по слоям», подраздел «Данные абонента: читаем из систем в момент вопроса, кэш — после замера»; замер — ADR-600, «Замер чтения данных абонента из систем»</t>
        </is>
      </c>
      <c r="I13" s="9" t="inlineStr">
        <is>
          <t>Скорость, лимиты и доступность API Биллинга и Диспетчерской неизвестны, доступа к ним нет; задержка ответа теперь зависит от чужих систем. Доля вопросов, которым нужны данные абонента, не измерена. Нагрузка на системы владельца пропорциональна числу вопросов: до 0,058 вызова/с на MVP и 0,656 на тираже в максимуме прогноза (верхняя оценка — один вызов на вопрос).</t>
        </is>
      </c>
      <c r="J13" s="9" t="inlineStr">
        <is>
          <t>Чтение из Биллинга и Диспетчерской в момент вопроса; таймауты, повторы и ответ «данных сейчас нет» при отказе системы; замер времени вызовов и лимитов API (ADR-600, «Замер чтения данных абонента из систем»); кэш Redis — по итогам замера. Сами клиенты API — в строках «Backend ↔ Биллинг» и «Backend ↔ Диспетчерская».</t>
        </is>
      </c>
      <c r="K13" s="9" t="inlineStr">
        <is>
          <t>Клиенты XML-RPC и REST в Backend, параллельные вызовы (asyncio), таймауты и повторы. Без Postgres-представления и без задания по расписанию. Redis со сроком жизни в минуты — только по итогам замера.</t>
        </is>
      </c>
      <c r="L13" s="9" t="inlineStr">
        <is>
          <t>Данные абонента (баланс, начисления, показания, заявки) меняются; ответ по предрасчитанной сводке может оказаться неверным (требование заказчика 25.09.2026).</t>
        </is>
      </c>
      <c r="M13" s="22" t="n">
        <v>2.5</v>
      </c>
      <c r="N13" s="12" t="n">
        <v>4</v>
      </c>
      <c r="O13" s="13" t="inlineStr">
        <is>
          <t>Оценка автора; замер API — ADR-600</t>
        </is>
      </c>
      <c r="P13" s="14" t="inlineStr">
        <is>
          <t>Без изменений</t>
        </is>
      </c>
      <c r="Q13" s="15" t="n"/>
      <c r="R13" s="15" t="n"/>
      <c r="S13" s="16" t="n"/>
      <c r="T13" s="16" t="n"/>
      <c r="U13" s="15" t="n"/>
      <c r="V13" s="9" t="inlineStr">
        <is>
          <t>ADR-200; ADR-600</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(нечего добавить к PostgreSQL)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4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 Отсев дублей при индексации: в коде нет, решение не принято. Варианты (ADR-300, раздел 3): А — MinHash/SimHash + quality_score; Б — центроидное сходство; В — кросс-энкодер офлайн (проект схемы ETL); Г — косинусный порог между частями (предложение автора 25.09.2026). Сравнение — «замер офлайн-роли реранкера», 2–3 чел-дн (ADR-600).</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 отсев дублей — ADR-300, раздел 3, подраздел «Офлайн-роль при индексации: отсев дублей (не решено)»</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 Отсев дублей: способ не выбран (строка «Реранкер», замер офлайн-роли 2–3 чел-дн), в оценку 4–6 чел-дн отдельно не выделен.</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 по триггеру; проверить возможности нечем, пока нет агентного сценария. Другие движки не сравнивались.</t>
        </is>
      </c>
      <c r="H17" s="9" t="inlineStr">
        <is>
          <t>ADR-200, раздел «Backend и оркестрация»: строка «Оркестрация агента» и подраздел «Оркестрация агента: собственная таблица переходов, LangGraph — по триггеру»</t>
        </is>
      </c>
      <c r="I17" s="9" t="inlineStr">
        <is>
          <t>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переход на LangGraph.</t>
        </is>
      </c>
      <c r="J17" s="9" t="inlineStr">
        <is>
          <t>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Переход агента на LangGraph (по триггеру)</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Не выполняется: автомат — собственная таблица переходов (`app/fsm.py`, 7 состояний, 10 переходов). Работа появляется только при наступлении одного из четырёх триггеров (модель выбирает следующий шаг после вызова инструмента; шаг ждёт событие дольше 30 минут и должен продолжиться с того же шага; две и более одновременные ветви со своими повторами и слиянием; доля реплик с двумя и более задачами выше 5%). Проверяется при постановке сценария Этапа 2 в разработку, при его изменении и при пересмотре по метрикам Этапа 1; журнал проверки — в ADR-200; пока ни один сценарий не поставлен.</t>
        </is>
      </c>
      <c r="G18" s="9" t="inlineStr">
        <is>
          <t>Свой автомат против `transitions` и LangGraph — ADR-200, подраздел «Оркестрация агента». LangGraph нужен, если агент сам выбирает инструмент, если нужны контрольные точки шагов, если появились параллельные ветви со своим состоянием; для фиксированной заявки с одним подтверждением не нужен.</t>
        </is>
      </c>
      <c r="H18" s="9" t="inlineStr">
        <is>
          <t>ADR-200, подраздел «Оркестрация агента: собственная таблица переходов, LangGraph — по триггеру», в том числе «В каком случае LangGraph нужен — подробно»</t>
        </is>
      </c>
      <c r="I18" s="9" t="inlineStr">
        <is>
          <t>Оценка function-calling у GigaChat и YandexGPT не проведена; возможности LangGraph в проекте не пробовались; телеметрия библиотеки (`langsmith`) не проверена на соответствие 152-ФЗ. Четвёртый триггер — доля реплик абонентов с двумя и более задачами выше 5% (измерение на выгрузке живых обращений и затем ежемесячно по чату). Оценка по триггерам: общая часть 5–9 чел-дн; с триггером 1 — 8–14, 2 — 7–12, 3 — 7–12, 4 — 7–13; все четыре — 14–24 (диапазон 7–24).</t>
        </is>
      </c>
      <c r="J18" s="9" t="inlineStr">
        <is>
          <t>Перенос таблицы переходов в граф без изменения состава переходов; `interrupt_before` вместо проверки состояния или не применяется; контрольные точки (Redis с сохранением или Postgres) и удаление ПДн из состояния; при триггере 1 — инструменты (Биллинг, обращения, Диспетчерская) с ограничением шагов, идемпотентностью и аудитом; отключение внешней телеметрии библиотеки; регрессия; при триггере 4 — перенос детектора намерений и очереди задач в граф, условные задачи.</t>
        </is>
      </c>
      <c r="K18" s="9" t="inlineStr">
        <is>
          <t>Python; LangGraph `StateGraph`; хранилище контрольных точек — Redis с сохранением или Postgres.</t>
        </is>
      </c>
      <c r="L18" s="9" t="inlineStr">
        <is>
          <t>Только по триггеру: возможности, ради которых берут библиотеку, на текущем сценарии проверить нечем. Работа не входит в итог сметы — показана отдельным столбцом.</t>
        </is>
      </c>
      <c r="M18" s="12" t="n">
        <v>7</v>
      </c>
      <c r="N18" s="12" t="n">
        <v>24</v>
      </c>
      <c r="O18" s="13" t="inlineStr">
        <is>
          <t>По триггеру (оценка автора)</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 на MVP шаблоны берутся из сервиса шаблонов (отдельная строка).</t>
        </is>
      </c>
      <c r="J21" s="9" t="inlineStr">
        <is>
          <t>Рендер PDF из шаблона и слотов, хранение в объектном хранилище, ссылка с ограниченным сроком жизни. Шаблоны получает от сервиса шаблонов (отдельная строка), а не из кода.</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Сервис шаблонов заявлений (Template Service)</t>
        </is>
      </c>
      <c r="D22" s="9" t="inlineStr">
        <is>
          <t>Template Service; Backend (TemplateResponder); Document Generator; MinIO или файловый сервер владельца (источник)</t>
        </is>
      </c>
      <c r="E22" s="9" t="inlineStr">
        <is>
          <t>Прототип — Python-модуль `app/documents/templates.py`; MVP — Python (FastAPI) + клиент S3 и/или смонтированный каталог файлового сервера (только чтение), описатель шаблона в YAML или JSON</t>
        </is>
      </c>
      <c r="F22" s="9" t="inlineStr">
        <is>
          <t>Отдельного контейнера нет: семь образцов заявлений заданы в коде (`app/documents/templates.py`) — текст с полями, вопросы абоненту, приложения, основание. Образцы ориентировочные, настоящих бланков владельца нет.</t>
        </is>
      </c>
      <c r="G22" s="9" t="inlineStr">
        <is>
          <t>Решение заказчика проекта 25.09.2026: шаблоны тянутся из хранилища или с файлового сервера отдельным контейнером. Сравнивались: в коде (прототип; замена бланка — выпуск приложения), файлы в образе или ConfigMap (тоже выпуск; ConfigMap ограничен ≈1 МБ по документации Kubernetes), отдельный контейнер + MinIO (уже в стеке; версии и права — средствами S3 по документации), отдельный контейнер + файловый сервер владельца (владелец кладёт форму туда, где уже работает; доступ, протокол и учётная запись неизвестны), таблица в Postgres (смешивает файлы форм с данными). Источник основной не выбран — зависит от ответа владельца; кандидат — MinIO. Сравнение по документации и общим сведениям, стенда нет.</t>
        </is>
      </c>
      <c r="H22" s="9" t="inlineStr">
        <is>
          <t>ADR-200, раздел «Сравнение вариантов по слоям», подраздел «Шаблоны заявлений: отдельный контейнер, шаблоны из хранилища или файлового сервера»; работы — ADR-600, «Сервис шаблонов заявлений (MVP)»</t>
        </is>
      </c>
      <c r="I22" s="9" t="inlineStr">
        <is>
          <t>Формат форм (Word, PDF-форма, HTML), источник (MinIO или файловый сервер), протокол и доступ, кто утверждает и обновляет формы, обязательные приложения — ответы владельца, не получены. Формат связан с выбором библиотеки PDF: если формы придут в Word, основным кандидатом становится LibreOffice headless. При недоступности источника контейнер отдаёт кэш, а без кэша Backend возвращается к встроенным образцам с пометкой «ориентировочный образец».</t>
        </is>
      </c>
      <c r="J22" s="9" t="inlineStr">
        <is>
          <t>Отдельный контейнер `template-service`: API (список, получение по коду и версии), источники MinIO и файловый сервер (только чтение), кэш с проверкой изменения, проверка при загрузке (известные поля, нет ПДн), версия шаблона в следе операции; Backend берёт шаблон из сервиса, встроенные образцы остаются запасным путём; перенос настоящих форм владельца. Работа: формат шаблона и описателя 2–3, контейнер 3–5, интеграция Backend 1,5–2,5, перенос форм 2–4, безопасность и сеть 1–2 чел-дн (ADR-600).</t>
        </is>
      </c>
      <c r="K22" s="9" t="inlineStr">
        <is>
          <t>Python (FastAPI); клиент S3 (boto3 или minio) и/или смонтированный каталог файлового сервера, только чтение; описатель шаблона — YAML или JSON рядом с файлом; Deployment, 2 реплики.</t>
        </is>
      </c>
      <c r="L22" s="9" t="inlineStr">
        <is>
          <t>Официальная форма принадлежит водоканалу и меняется; замена бланка не должна требовать выпуска приложения.</t>
        </is>
      </c>
      <c r="M22" s="22" t="n">
        <v>9.5</v>
      </c>
      <c r="N22" s="22" t="n">
        <v>16.5</v>
      </c>
      <c r="O22" s="13" t="inlineStr">
        <is>
          <t>Оценка автора; формат форм и источник неизвестны</t>
        </is>
      </c>
      <c r="P22" s="14" t="inlineStr">
        <is>
          <t>Без изменений</t>
        </is>
      </c>
      <c r="Q22" s="15" t="n"/>
      <c r="R22" s="15" t="n"/>
      <c r="S22" s="16" t="n"/>
      <c r="T22" s="16" t="n"/>
      <c r="U22" s="15" t="n"/>
      <c r="V22" s="9" t="inlineStr">
        <is>
          <t>ADR-200; ADR-600; ADR-100</t>
        </is>
      </c>
    </row>
    <row r="23">
      <c r="A23" s="9" t="n">
        <v>21</v>
      </c>
      <c r="B23" s="10" t="inlineStr">
        <is>
          <t>Контейнер</t>
        </is>
      </c>
      <c r="C23" s="11" t="inlineStr">
        <is>
          <t>Оркестрация контейнеров</t>
        </is>
      </c>
      <c r="D23" s="9" t="inlineStr">
        <is>
          <t>Все контейнеры (Backend, LLM Gateway, Qdrant, Redis, Postgres, ETL, GPU-сервисы)</t>
        </is>
      </c>
      <c r="E23" s="9" t="inlineStr">
        <is>
          <t>Прототип — Docker Compose на одной машине; MVP — Kubernetes (nginx Ingress, cert-manager)</t>
        </is>
      </c>
      <c r="F23" s="9" t="inlineStr">
        <is>
          <t>`docker compose` на одной машине: postgres, redis, qdrant, reindex, backend.</t>
        </is>
      </c>
      <c r="G23"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3"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3"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3"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17 компонентов, секреты (Kubernetes Secret из GitLab CI variables). Расчёт по допущениям (лист «Sizing», базовый вариант без GPU): 6 узлов на MVP (4 общих и 2 данных), 7 на тираже (+1 GPU-узел под собственную модель); в общем кластере это верхняя оценка заказываемых узлов, стоимость серверов не оценена.</t>
        </is>
      </c>
      <c r="K23" s="9" t="inlineStr">
        <is>
          <t>Kubernetes владельца (дистрибутив и версия неизвестны); Ingress и сертификаты — по правилам кластера; манифесты приложения.</t>
        </is>
      </c>
      <c r="L23"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3" s="12" t="n">
        <v>6</v>
      </c>
      <c r="N23" s="12" t="n">
        <v>9</v>
      </c>
      <c r="O23" s="13" t="inlineStr">
        <is>
          <t>Оценка автора</t>
        </is>
      </c>
      <c r="P23"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3" s="9" t="inlineStr">
        <is>
          <t>—</t>
        </is>
      </c>
      <c r="R23" s="9" t="inlineStr">
        <is>
          <t>Для тиража нужна согласованная платформа, включая GPU-пулы; выбор Kubernetes пока предварительный.</t>
        </is>
      </c>
      <c r="S23" s="20" t="n">
        <v>2</v>
      </c>
      <c r="T23" s="20" t="n">
        <v>3</v>
      </c>
      <c r="U23" s="21" t="inlineStr">
        <is>
          <t>ADR-600</t>
        </is>
      </c>
      <c r="V23" s="9" t="inlineStr">
        <is>
          <t>ADR-200; ADR-600; C4_Deployment</t>
        </is>
      </c>
    </row>
    <row r="24">
      <c r="A24" s="9" t="n">
        <v>22</v>
      </c>
      <c r="B24" s="10" t="inlineStr">
        <is>
          <t>Контейнер</t>
        </is>
      </c>
      <c r="C24" s="11" t="inlineStr">
        <is>
          <t>Секреты и конфигурация</t>
        </is>
      </c>
      <c r="D24" s="9" t="inlineStr">
        <is>
          <t>Backend; LLM Gateway (ключи провайдеров); все контейнеры (конфигурация)</t>
        </is>
      </c>
      <c r="E24" s="9" t="inlineStr">
        <is>
          <t>Переменные окружения оболочки (передаются через Compose `${VAR}`); Vault dev-режим (необязательный локальный вариант); MVP — GitLab CI variables, Kubernetes Secret</t>
        </is>
      </c>
      <c r="F24"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4"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4" s="9" t="inlineStr">
        <is>
          <t>ADR-200, раздел «Секреты и конфигурация» и подраздел «Секреты в проде: GitLab CI variables и альтернативы»; ADR-400 («Что добавляется в контуре MVP»)</t>
        </is>
      </c>
      <c r="I24"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4"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4" s="9" t="inlineStr">
        <is>
          <t>GitLab CI/CD variables (masked, protected), pipeline деплоя, Kubernetes Secret; версия и редакция GitLab владельца неизвестны.</t>
        </is>
      </c>
      <c r="L24"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4" s="12" t="n">
        <v>2</v>
      </c>
      <c r="N24" s="12" t="n">
        <v>3</v>
      </c>
      <c r="O24" s="13" t="inlineStr">
        <is>
          <t>Оценка автора</t>
        </is>
      </c>
      <c r="P24" s="14" t="inlineStr">
        <is>
          <t>Без изменений</t>
        </is>
      </c>
      <c r="Q24" s="15" t="n"/>
      <c r="R24" s="15" t="n"/>
      <c r="S24" s="16" t="n"/>
      <c r="T24" s="16" t="n"/>
      <c r="U24" s="15" t="n"/>
      <c r="V24" s="9" t="inlineStr">
        <is>
          <t>ADR-200; ADR-400</t>
        </is>
      </c>
    </row>
    <row r="25">
      <c r="A25" s="9" t="n">
        <v>23</v>
      </c>
      <c r="B25" s="10" t="inlineStr">
        <is>
          <t>Контейнер</t>
        </is>
      </c>
      <c r="C25" s="11" t="inlineStr">
        <is>
          <t>Наблюдаемость (метрики, логи, алерты)</t>
        </is>
      </c>
      <c r="D25" s="9" t="inlineStr">
        <is>
          <t>Backend и LLM Gateway (метрики); все контейнеры (логи); Grafana и Zabbix — владельца (не наши контейнеры); отдельные контейнеры Prometheus и Loki — верхняя оценка до ответа владельца (MVP)</t>
        </is>
      </c>
      <c r="E25" s="9" t="inlineStr">
        <is>
          <t>prometheus-client (метрики на отдельном порту 9100); MVP — Zabbix и Grafana владельца (Jaeger — по необходимости), дашборды и триггеры как код</t>
        </is>
      </c>
      <c r="F25"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5"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5" s="9" t="inlineStr">
        <is>
          <t>ADR-200, раздел «Сравнение вариантов по слоям», подраздел «Наблюдаемость: Grafana владельца и источники данных»</t>
        </is>
      </c>
      <c r="I25"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сбор логов. Трассировки в нашем коде нет (Jaeger в контуре есть).</t>
        </is>
      </c>
      <c r="J25"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Оценка не пересматривалась (5–8): развёртывание своей связки отпало, добавились интеграция с Zabbix и настройка оповещений.</t>
        </is>
      </c>
      <c r="K25" s="9" t="inlineStr">
        <is>
          <t>Zabbix и Grafana владельца; prometheus-client (порт 9100); Jaeger — по необходимости (OpenTelemetry, OTLP); Prometheus и Loki — верхняя оценка до ответа владельца.</t>
        </is>
      </c>
      <c r="L25"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5" s="12" t="n">
        <v>5</v>
      </c>
      <c r="N25" s="12" t="n">
        <v>8</v>
      </c>
      <c r="O25" s="13" t="inlineStr">
        <is>
          <t>Оценка автора</t>
        </is>
      </c>
      <c r="P25" s="14" t="inlineStr">
        <is>
          <t>Без изменений</t>
        </is>
      </c>
      <c r="Q25" s="15" t="n"/>
      <c r="R25" s="15" t="n"/>
      <c r="S25" s="16" t="n"/>
      <c r="T25" s="16" t="n"/>
      <c r="U25" s="15" t="n"/>
      <c r="V25" s="9" t="inlineStr">
        <is>
          <t>C4_Deployment; ADR-200; ADR-500</t>
        </is>
      </c>
    </row>
    <row r="26">
      <c r="A26" s="9" t="n">
        <v>24</v>
      </c>
      <c r="B26" s="23" t="inlineStr">
        <is>
          <t>Сквозная работа</t>
        </is>
      </c>
      <c r="C26" s="11" t="inlineStr">
        <is>
          <t>Алерты и оповещения</t>
        </is>
      </c>
      <c r="D26" s="9" t="inlineStr">
        <is>
          <t>Zabbix владельца (триггеры, действия); Backend и LLM Gateway (метрики блокировок и утечек); Grafana владельца (запасной вариант)</t>
        </is>
      </c>
      <c r="E26" s="9" t="inlineStr">
        <is>
          <t>Триггеры и действия Zabbix; Grafana Alerting — запасной вариант</t>
        </is>
      </c>
      <c r="F26"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6"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6" s="9" t="inlineStr">
        <is>
          <t>ADR-200, подраздел «Наблюдаемость: Grafana владельца и источники данных», блок «Алерты: сравнение вариантов»</t>
        </is>
      </c>
      <c r="I26"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6"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6" s="9" t="inlineStr">
        <is>
          <t>Zabbix владельца (триггеры, действия, каналы); Grafana Alerting — запасной вариант.</t>
        </is>
      </c>
      <c r="L26"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6" s="19" t="n"/>
      <c r="N26" s="19" t="n"/>
      <c r="O26" s="9" t="n"/>
      <c r="P26" s="14" t="inlineStr">
        <is>
          <t>Без изменений</t>
        </is>
      </c>
      <c r="Q26" s="15" t="n"/>
      <c r="R26" s="15" t="n"/>
      <c r="S26" s="16" t="n"/>
      <c r="T26" s="16" t="n"/>
      <c r="U26" s="15" t="n"/>
      <c r="V26" s="9" t="inlineStr">
        <is>
          <t>ADR-200; ADR-400</t>
        </is>
      </c>
    </row>
    <row r="27">
      <c r="A27" s="9" t="n">
        <v>25</v>
      </c>
      <c r="B27" s="23" t="inlineStr">
        <is>
          <t>Сквозная работа</t>
        </is>
      </c>
      <c r="C27" s="11" t="inlineStr">
        <is>
          <t>Трассировка (Jaeger)</t>
        </is>
      </c>
      <c r="D27" s="9" t="inlineStr">
        <is>
          <t>Backend; LLM Gateway; клиенты Qdrant, Postgres, Redis; Jaeger владельца</t>
        </is>
      </c>
      <c r="E27" s="9" t="inlineStr">
        <is>
          <t>OpenTelemetry (Python), OTLP, Jaeger владельца — по условию</t>
        </is>
      </c>
      <c r="F27"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7"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7"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7"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7"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7" s="9" t="inlineStr">
        <is>
          <t>OpenTelemetry (Python), OTLP, Jaeger владельца — по условию.</t>
        </is>
      </c>
      <c r="L27"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7" s="12" t="n">
        <v>2</v>
      </c>
      <c r="N27" s="12" t="n">
        <v>4</v>
      </c>
      <c r="O27" s="13" t="inlineStr">
        <is>
          <t>По триггеру (P99 по метрикам разобрать не удаётся; оценка автора)</t>
        </is>
      </c>
      <c r="P27" s="14" t="inlineStr">
        <is>
          <t>Без изменений</t>
        </is>
      </c>
      <c r="Q27" s="15" t="n"/>
      <c r="R27" s="15" t="n"/>
      <c r="S27" s="16" t="n"/>
      <c r="T27" s="16" t="n"/>
      <c r="U27" s="15" t="n"/>
      <c r="V27" s="9" t="inlineStr">
        <is>
          <t>ADR-200; ADR-600</t>
        </is>
      </c>
    </row>
    <row r="28">
      <c r="A28" s="9" t="n">
        <v>26</v>
      </c>
      <c r="B28" s="24" t="inlineStr">
        <is>
          <t>Связь</t>
        </is>
      </c>
      <c r="C28" s="11" t="inlineStr">
        <is>
          <t>Виджет ↔ Backend</t>
        </is>
      </c>
      <c r="D28" s="9" t="inlineStr">
        <is>
          <t>AI-виджет; Backend</t>
        </is>
      </c>
      <c r="E28" s="9" t="inlineStr">
        <is>
          <t>HTTP/JSON; поток SSE (`text/event-stream`); контракт OpenAPI 3</t>
        </is>
      </c>
      <c r="F28" s="9" t="inlineStr">
        <is>
          <t>HTTP + поток SSE; контракт описан в OpenAPI (`API_Spec.yaml`), идентификатор абонента — в метаданных запроса.</t>
        </is>
      </c>
      <c r="G28"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8" s="9" t="inlineStr">
        <is>
          <t>ADR-200, раздел «Сравнение вариантов по слоям», подраздел «Протокол потока ответа: SSE»</t>
        </is>
      </c>
      <c r="I28" s="9" t="inlineStr">
        <is>
          <t>Идентификатор абонента передаёт сам клиент — для стенда допустимо, для продакшена нет.</t>
        </is>
      </c>
      <c r="J28" s="14" t="inlineStr">
        <is>
          <t>Без изменений</t>
        </is>
      </c>
      <c r="K28" s="15" t="n"/>
      <c r="L28" s="15" t="inlineStr">
        <is>
          <t>Протокол тот же; токен SSO — в строке про связь с ЛК.</t>
        </is>
      </c>
      <c r="M28" s="16" t="n"/>
      <c r="N28" s="16" t="n"/>
      <c r="O28" s="15" t="n"/>
      <c r="P28" s="14" t="inlineStr">
        <is>
          <t>Без изменений</t>
        </is>
      </c>
      <c r="Q28" s="15" t="n"/>
      <c r="R28" s="15" t="n"/>
      <c r="S28" s="16" t="n"/>
      <c r="T28" s="16" t="n"/>
      <c r="U28" s="15" t="n"/>
      <c r="V28" s="9" t="inlineStr">
        <is>
          <t>API_Spec.yaml</t>
        </is>
      </c>
    </row>
    <row r="29">
      <c r="A29" s="9" t="n">
        <v>27</v>
      </c>
      <c r="B29" s="24" t="inlineStr">
        <is>
          <t>Связь</t>
        </is>
      </c>
      <c r="C29" s="11" t="inlineStr">
        <is>
          <t>Backend ↔ Платформа ЛК (SSO)</t>
        </is>
      </c>
      <c r="D29" s="9" t="inlineStr">
        <is>
          <t>Backend; Платформа ЛК (внешняя)</t>
        </is>
      </c>
      <c r="E29" s="9" t="inlineStr">
        <is>
          <t>SSO личного кабинета (протокол не выбран); на прототипе — идентификатор в метаданных запроса</t>
        </is>
      </c>
      <c r="F29" s="9" t="inlineStr">
        <is>
          <t>Не подключена: абонент выбирается из справочника стенда.</t>
        </is>
      </c>
      <c r="G29" s="9" t="inlineStr">
        <is>
          <t>Сравнение не проводилось: интеграция с ЛК не начата, протокол SSO ещё не известен.</t>
        </is>
      </c>
      <c r="H29" s="9" t="inlineStr">
        <is>
          <t>ADR-400, раздел «Сравнение вариантов по слоям безопасности», подраздел «Как выбран способ доступа к внешним системам» (протокол SSO не выбран)</t>
        </is>
      </c>
      <c r="I29" s="9" t="inlineStr">
        <is>
          <t>Настоящей SSO-сессии нет; Auth &amp; Session Middleware — целевой компонент.</t>
        </is>
      </c>
      <c r="J29" s="9" t="inlineStr">
        <is>
          <t>Профиль и сессия абонента берутся из личного кабинета при открытии диалога.</t>
        </is>
      </c>
      <c r="K29" s="9" t="inlineStr">
        <is>
          <t>SSO Платформы ЛК, Auth &amp; Session Middleware в Backend.</t>
        </is>
      </c>
      <c r="L29" s="9" t="inlineStr">
        <is>
          <t>Идентификатор абонента должен приходить от доверенной системы, а не от клиента.</t>
        </is>
      </c>
      <c r="M29" s="17" t="n">
        <v>3</v>
      </c>
      <c r="N29" s="17" t="n">
        <v>5</v>
      </c>
      <c r="O29" s="18" t="inlineStr">
        <is>
          <t>Из блока ADR-600: Основная разработка Этапа 2</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Биллинг (чтение фактов)</t>
        </is>
      </c>
      <c r="D30" s="9" t="inlineStr">
        <is>
          <t>Backend; Биллинг (внешняя)</t>
        </is>
      </c>
      <c r="E30" s="9" t="inlineStr">
        <is>
          <t>XML-RPC API Биллинга; на прототипе — слепок в PostgreSQL</t>
        </is>
      </c>
      <c r="F30" s="9" t="inlineStr">
        <is>
          <t>Чтение из слепка Биллинга в Postgres; для лицевого счёта: долг, начисления, показания, поверка.</t>
        </is>
      </c>
      <c r="G30" s="9" t="inlineStr">
        <is>
          <t>Прямое чтение чужой БД запрещено: только через API владельца.</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API Биллинга от владельца не получены.</t>
        </is>
      </c>
      <c r="J30" s="9" t="inlineStr">
        <is>
          <t>Данные абонента запрашиваются у Биллинга в момент вопроса (предрасчёта нет, решение 25.09.2026).</t>
        </is>
      </c>
      <c r="K30" s="9" t="inlineStr">
        <is>
          <t>XML-RPC API Биллинга.</t>
        </is>
      </c>
      <c r="L30" s="9" t="inlineStr">
        <is>
          <t>Единственный способ доступа к Биллингу; данные нужны онлайн, а не с отставанием предрасчёта.</t>
        </is>
      </c>
      <c r="M30" s="20" t="n">
        <v>1</v>
      </c>
      <c r="N30" s="20" t="n">
        <v>2</v>
      </c>
      <c r="O30" s="21" t="inlineStr">
        <is>
          <t>ADR-600</t>
        </is>
      </c>
      <c r="P30" s="14" t="inlineStr">
        <is>
          <t>Без изменений</t>
        </is>
      </c>
      <c r="Q30" s="15" t="n"/>
      <c r="R30" s="15" t="n"/>
      <c r="S30" s="16" t="n"/>
      <c r="T30" s="16" t="n"/>
      <c r="U30" s="15" t="n"/>
      <c r="V30" s="9" t="inlineStr">
        <is>
          <t>ADR-400; ADR-600</t>
        </is>
      </c>
    </row>
    <row r="31">
      <c r="A31" s="9" t="n">
        <v>29</v>
      </c>
      <c r="B31" s="24" t="inlineStr">
        <is>
          <t>Связь</t>
        </is>
      </c>
      <c r="C31" s="11" t="inlineStr">
        <is>
          <t>Backend ↔ Диспетчерская</t>
        </is>
      </c>
      <c r="D31" s="9" t="inlineStr">
        <is>
          <t>Backend; Сервис работы с обращениями; Диспетчерская (внешняя)</t>
        </is>
      </c>
      <c r="E31" s="9" t="inlineStr">
        <is>
          <t>REST API Диспетчерской; на прототипе — локальные данные графика отключений</t>
        </is>
      </c>
      <c r="F31" s="9" t="inlineStr">
        <is>
          <t>Данные графика плановых отключений (1939 записей) читаются локально; запись аварийной заявки — заглушка.</t>
        </is>
      </c>
      <c r="G31" s="9" t="inlineStr">
        <is>
          <t>Прямой доступ к чужой БД запрещён.</t>
        </is>
      </c>
      <c r="H31" s="9" t="inlineStr">
        <is>
          <t>ADR-400, раздел «Сравнение вариантов по слоям безопасности», подраздел «Как выбран способ доступа к внешним системам»</t>
        </is>
      </c>
      <c r="I31" s="9" t="inlineStr">
        <is>
          <t>Сигнатуры REST API Диспетчерской от владельца не получены.</t>
        </is>
      </c>
      <c r="J31" s="9" t="inlineStr">
        <is>
          <t>Чтение статуса аварийной заявки и зоны по API; запись аварийной заявки после подтверждения абонента.</t>
        </is>
      </c>
      <c r="K31" s="9" t="inlineStr">
        <is>
          <t>REST API Диспетчерской.</t>
        </is>
      </c>
      <c r="L31" s="9" t="inlineStr">
        <is>
          <t>Единственный разрешённый путь; аварии должны попадать сразу в диспетчерскую.</t>
        </is>
      </c>
      <c r="M31" s="20" t="n">
        <v>1</v>
      </c>
      <c r="N31" s="20" t="n">
        <v>2</v>
      </c>
      <c r="O31" s="21" t="inlineStr">
        <is>
          <t>ADR-600</t>
        </is>
      </c>
      <c r="P31" s="14" t="inlineStr">
        <is>
          <t>Без изменений</t>
        </is>
      </c>
      <c r="Q31" s="15" t="n"/>
      <c r="R31" s="15" t="n"/>
      <c r="S31" s="16" t="n"/>
      <c r="T31" s="16" t="n"/>
      <c r="U31" s="15" t="n"/>
      <c r="V31" s="9" t="inlineStr">
        <is>
          <t>ADR-100; ADR-400; ADR-600</t>
        </is>
      </c>
    </row>
    <row r="32">
      <c r="A32" s="9" t="n">
        <v>30</v>
      </c>
      <c r="B32" s="24" t="inlineStr">
        <is>
          <t>Связь</t>
        </is>
      </c>
      <c r="C32" s="11" t="inlineStr">
        <is>
          <t>Backend ↔ LLM Gateway</t>
        </is>
      </c>
      <c r="D32" s="9" t="inlineStr">
        <is>
          <t>Backend; LLM Gateway</t>
        </is>
      </c>
      <c r="E32" s="9" t="inlineStr">
        <is>
          <t>Вызов функции Python в одном процессе; на MVP — HTTP, OpenAI-совместимый протокол</t>
        </is>
      </c>
      <c r="F32" s="9" t="inlineStr">
        <is>
          <t>Вызов внутри одного процесса.</t>
        </is>
      </c>
      <c r="G32"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2" s="9" t="inlineStr">
        <is>
          <t>ADR-200, раздел «LLM-хостинг», подраздел «Как устроен шлюз к модели»</t>
        </is>
      </c>
      <c r="I32" s="9" t="inlineStr">
        <is>
          <t>—</t>
        </is>
      </c>
      <c r="J32" s="9" t="inlineStr">
        <is>
          <t>Вызов по сети между контейнерами; OpenAI-совместимый протокол.</t>
        </is>
      </c>
      <c r="K32" s="9" t="inlineStr">
        <is>
          <t>HTTP внутри кластера.</t>
        </is>
      </c>
      <c r="L32" s="9" t="inlineStr">
        <is>
          <t>Следствие выноса шлюза в отдельный контейнер (см. строку LLM Gateway).</t>
        </is>
      </c>
      <c r="M32" s="19" t="n"/>
      <c r="N32" s="19" t="n"/>
      <c r="O32" s="9" t="n"/>
      <c r="P32" s="14" t="inlineStr">
        <is>
          <t>Без изменений</t>
        </is>
      </c>
      <c r="Q32" s="15" t="n"/>
      <c r="R32" s="15" t="n"/>
      <c r="S32" s="16" t="n"/>
      <c r="T32" s="16" t="n"/>
      <c r="U32" s="15" t="n"/>
      <c r="V32" s="9" t="inlineStr">
        <is>
          <t>ADR-200</t>
        </is>
      </c>
    </row>
    <row r="33">
      <c r="A33" s="9" t="n">
        <v>31</v>
      </c>
      <c r="B33" s="24" t="inlineStr">
        <is>
          <t>Связь</t>
        </is>
      </c>
      <c r="C33" s="11" t="inlineStr">
        <is>
          <t>Backend ↔ Qdrant</t>
        </is>
      </c>
      <c r="D33" s="9" t="inlineStr">
        <is>
          <t>Backend; Qdrant</t>
        </is>
      </c>
      <c r="E33" s="9" t="inlineStr">
        <is>
          <t>qdrant-client по HTTP (порт 6333)</t>
        </is>
      </c>
      <c r="F33"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3"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3" s="9" t="inlineStr">
        <is>
          <t>ADR-200, раздел «Сравнение вариантов по слоям», подраздел «Почему Qdrant, а не другая векторная база» (клиент по HTTP, а не gRPC)</t>
        </is>
      </c>
      <c r="I33"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3"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3" s="9" t="inlineStr">
        <is>
          <t>qdrant-client по gRPC (prefer_grpc, порт 6334).</t>
        </is>
      </c>
      <c r="L33" s="9" t="inlineStr">
        <is>
          <t>Стабильные 6–13 мс вместо разброса 6–60 мс; на объёме MVP P99 вдвое ниже (топ-100 с payload: 19,5 против 40,1 мс).</t>
        </is>
      </c>
      <c r="M33" s="19" t="n"/>
      <c r="N33" s="19" t="n"/>
      <c r="O33" s="9" t="n"/>
      <c r="P33" s="14" t="inlineStr">
        <is>
          <t>Без изменений</t>
        </is>
      </c>
      <c r="Q33" s="15" t="n"/>
      <c r="R33" s="15" t="n"/>
      <c r="S33" s="16" t="n"/>
      <c r="T33" s="16" t="n"/>
      <c r="U33" s="15" t="n"/>
      <c r="V33" s="9" t="inlineStr">
        <is>
          <t>ADR-200; ADR-400; ADR-600</t>
        </is>
      </c>
    </row>
    <row r="34">
      <c r="A34" s="9" t="n">
        <v>32</v>
      </c>
      <c r="B34" s="24" t="inlineStr">
        <is>
          <t>Связь</t>
        </is>
      </c>
      <c r="C34" s="11" t="inlineStr">
        <is>
          <t>LLM Gateway ↔ LLM Provider</t>
        </is>
      </c>
      <c r="D34" s="9" t="inlineStr">
        <is>
          <t>LLM Gateway; внешний LLM Provider</t>
        </is>
      </c>
      <c r="E34" s="9" t="inlineStr">
        <is>
          <t>HTTPS с проверкой сертификата; LiteLLM (OpenAI-совместимый интерфейс)</t>
        </is>
      </c>
      <c r="F34" s="9" t="inlineStr">
        <is>
          <t>HTTPS с проверкой сертификата: YandexGPT (сертификаты доступны). Проверка TLS не отключается никогда.</t>
        </is>
      </c>
      <c r="G34" s="9" t="inlineStr">
        <is>
          <t>Отключить проверку сертификата ради GigaChat отклонено — по каналу идут данные абонента; вместо этого переключаемся на другого провайдера.</t>
        </is>
      </c>
      <c r="H34" s="9" t="inlineStr">
        <is>
          <t>ADR-400, раздел «Закрыто сейчас» (TLS не отключается); ADR-300, раздел 4</t>
        </is>
      </c>
      <c r="I34" s="9" t="inlineStr">
        <is>
          <t>Для GigaChat нужны корневые сертификаты НУЦ Минцифры — на машине прототипа их нет.</t>
        </is>
      </c>
      <c r="J34" s="9" t="inlineStr">
        <is>
          <t>Канал к GigaChat с корневыми сертификатами НУЦ в образе шлюза; автопереключение на резерв.</t>
        </is>
      </c>
      <c r="K34" s="9" t="inlineStr">
        <is>
          <t>HTTPS, сертификаты НУЦ Минцифры.</t>
        </is>
      </c>
      <c r="L34" s="9" t="inlineStr">
        <is>
          <t>Основной провайдер MVP — GigaChat Pro (входит в работу по строке LLM Provider).</t>
        </is>
      </c>
      <c r="M34" s="19" t="n"/>
      <c r="N34" s="19" t="n"/>
      <c r="O34" s="9" t="n"/>
      <c r="P34" s="9" t="inlineStr">
        <is>
          <t>Вызов собственной модели внутри закрытого контура.</t>
        </is>
      </c>
      <c r="Q34" s="9" t="inlineStr">
        <is>
          <t>OpenAI-совместимый интерфейс vLLM внутри сети водоканала.</t>
        </is>
      </c>
      <c r="R34" s="9" t="inlineStr">
        <is>
          <t>Данные не покидают периметр вообще, а не только территорию РФ.</t>
        </is>
      </c>
      <c r="S34" s="19" t="n"/>
      <c r="T34" s="19" t="n"/>
      <c r="U34" s="9" t="n"/>
      <c r="V34" s="9" t="inlineStr">
        <is>
          <t>ADR-400; ADR-300</t>
        </is>
      </c>
    </row>
    <row r="35">
      <c r="A35" s="9" t="n">
        <v>33</v>
      </c>
      <c r="B35" s="24" t="inlineStr">
        <is>
          <t>Связь</t>
        </is>
      </c>
      <c r="C35" s="11" t="inlineStr">
        <is>
          <t>Индексация → Qdrant</t>
        </is>
      </c>
      <c r="D35" s="9" t="inlineStr">
        <is>
          <t>ETL индексации; Qdrant</t>
        </is>
      </c>
      <c r="E35" s="9" t="inlineStr">
        <is>
          <t>qdrant-client: upsert в новую коллекцию + переключение алиаса (blue-green)</t>
        </is>
      </c>
      <c r="F35" s="9" t="inlineStr">
        <is>
          <t>Запись в новую физическую коллекцию и атомарное переключение алиаса (blue-green); удалённые документы уходят при полной пересборке.</t>
        </is>
      </c>
      <c r="G35"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5" s="9" t="inlineStr">
        <is>
          <t>ADR-200, раздел «Сравнение вариантов по слоям», подраздел «Почему Qdrant, а не другая векторная база» (blue-green, а не обновление на месте)</t>
        </is>
      </c>
      <c r="I35" s="9" t="inlineStr">
        <is>
          <t>—</t>
        </is>
      </c>
      <c r="J35" s="14" t="inlineStr">
        <is>
          <t>Без изменений</t>
        </is>
      </c>
      <c r="K35" s="15" t="n"/>
      <c r="L35" s="15" t="inlineStr">
        <is>
          <t>Механизм переносится как есть; окно 02:00–05:00 описано в строке про индексацию.</t>
        </is>
      </c>
      <c r="M35" s="16" t="n"/>
      <c r="N35" s="16" t="n"/>
      <c r="O35" s="15" t="n"/>
      <c r="P35" s="14" t="inlineStr">
        <is>
          <t>Без изменений</t>
        </is>
      </c>
      <c r="Q35" s="15" t="n"/>
      <c r="R35" s="15" t="n"/>
      <c r="S35" s="16" t="n"/>
      <c r="T35" s="16" t="n"/>
      <c r="U35" s="15" t="n"/>
      <c r="V35" s="9" t="inlineStr">
        <is>
          <t>ADR-200</t>
        </is>
      </c>
    </row>
    <row r="36">
      <c r="A36" s="9" t="n">
        <v>34</v>
      </c>
      <c r="B36" s="23" t="inlineStr">
        <is>
          <t>Сквозная работа</t>
        </is>
      </c>
      <c r="C36" s="11" t="inlineStr">
        <is>
          <t>Смета CAPEX/OPEX, NFR, допущения о нагрузке</t>
        </is>
      </c>
      <c r="D36" s="9" t="inlineStr">
        <is>
          <t>Все (сквозная работа); GPU-пул и кластер — как предмет сметы</t>
        </is>
      </c>
      <c r="E36" s="9" t="inlineStr">
        <is>
          <t>Расчётные таблицы (Capacity_Report.html), формулы sizing</t>
        </is>
      </c>
      <c r="F36" s="9" t="inlineStr">
        <is>
          <t>Есть прогнозная модель с минимальным и максимальным сценарием (`Capacity_Report.html`, лист «Прогноз стоимости»): токены на MVP 1 234–101 280 ₽ в месяц, на тираже 3 305 ₽–1,07 млн ₽; цен на серверы и GPU нет. Это не смета: числа не утверждены владельцем (открытый P0).</t>
        </is>
      </c>
      <c r="G36" s="9" t="inlineStr">
        <is>
          <t>Не применимо: это работа, а не выбор технологии.</t>
        </is>
      </c>
      <c r="H36" s="9" t="inlineStr">
        <is>
          <t>Не применимо: это работа, а не выбор технологии; расчёт — Capacity_Report.html, стоимость — ADR-500</t>
        </is>
      </c>
      <c r="I36" s="9" t="inlineStr">
        <is>
          <t>Разброс стоимости токенов на MVP — ×82 между минимумом и максимумом; без статистики ЛК, колл-центра и живых обращений смета остаётся диапазоном.</t>
        </is>
      </c>
      <c r="J36"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6" s="9" t="inlineStr">
        <is>
          <t>—</t>
        </is>
      </c>
      <c r="L36" s="9" t="inlineStr">
        <is>
          <t>Без этого нельзя защищать бюджет.</t>
        </is>
      </c>
      <c r="M36" s="25" t="n">
        <v>11.5</v>
      </c>
      <c r="N36" s="17" t="n">
        <v>17</v>
      </c>
      <c r="O36" s="18" t="inlineStr">
        <is>
          <t>Из блока ADR-600: P0</t>
        </is>
      </c>
      <c r="P36" s="14" t="inlineStr">
        <is>
          <t>Без изменений</t>
        </is>
      </c>
      <c r="Q36" s="15" t="n"/>
      <c r="R36" s="15" t="inlineStr">
        <is>
          <t>Пересчёт NFR под 90 000 абонентов уже сделан.</t>
        </is>
      </c>
      <c r="S36" s="16" t="n"/>
      <c r="T36" s="16" t="n"/>
      <c r="U36" s="15" t="n"/>
      <c r="V36" s="9" t="inlineStr">
        <is>
          <t>ADR-500; ADR-600</t>
        </is>
      </c>
    </row>
    <row r="37">
      <c r="A37" s="9" t="n">
        <v>35</v>
      </c>
      <c r="B37" s="23" t="inlineStr">
        <is>
          <t>Сквозная работа</t>
        </is>
      </c>
      <c r="C37" s="11" t="inlineStr">
        <is>
          <t>Внедрение ответов владельцев данных</t>
        </is>
      </c>
      <c r="D37" s="9" t="inlineStr">
        <is>
          <t>Backend (Triage, ответчики); Document Generator; Сервис работы с обращениями</t>
        </is>
      </c>
      <c r="E37" s="9" t="inlineStr">
        <is>
          <t>Справочники и тексты в коде и данных; не технология</t>
        </is>
      </c>
      <c r="F37" s="9" t="inlineStr">
        <is>
          <t>Пункты, ждущие ответа водоканала: коды типов обращений, текст о качестве воды, четыре процесса вне справочника, настоящие бланки (сами бланки теперь через сервис шаблонов — отдельная строка; здесь остаётся ответ владельца о формате, месте и приложениях).</t>
        </is>
      </c>
      <c r="G37" s="9" t="inlineStr">
        <is>
          <t>Не применимо: это работа, а не выбор технологии.</t>
        </is>
      </c>
      <c r="H37" s="9" t="inlineStr">
        <is>
          <t>Не применимо: это работа, а не выбор технологии; перечень пунктов — ADR-600, раздел «Ждут ответа владельцев систем»</t>
        </is>
      </c>
      <c r="I37" s="9" t="inlineStr">
        <is>
          <t>Календарный срок определяет владелец, не команда.</t>
        </is>
      </c>
      <c r="J37" s="9" t="inlineStr">
        <is>
          <t>Внедрение полученных ответов в справочники и тексты.</t>
        </is>
      </c>
      <c r="K37" s="9" t="inlineStr">
        <is>
          <t>—</t>
        </is>
      </c>
      <c r="L37" s="9" t="inlineStr">
        <is>
          <t>Разработки не требуют — требуют ответа от водоканала.</t>
        </is>
      </c>
      <c r="M37" s="17" t="n">
        <v>4</v>
      </c>
      <c r="N37" s="17" t="n">
        <v>8</v>
      </c>
      <c r="O37" s="18" t="inlineStr">
        <is>
          <t>Из блока ADR-600: Согласования</t>
        </is>
      </c>
      <c r="P37" s="14" t="inlineStr">
        <is>
          <t>Без изменений</t>
        </is>
      </c>
      <c r="Q37" s="15" t="n"/>
      <c r="R37" s="15" t="n"/>
      <c r="S37" s="16" t="n"/>
      <c r="T37" s="16" t="n"/>
      <c r="U37" s="15" t="n"/>
      <c r="V37" s="9" t="inlineStr">
        <is>
          <t>ADR-600</t>
        </is>
      </c>
    </row>
    <row r="38">
      <c r="A38" s="9" t="n">
        <v>36</v>
      </c>
      <c r="B38" s="23" t="inlineStr">
        <is>
          <t>Сквозная работа</t>
        </is>
      </c>
      <c r="C38" s="11" t="inlineStr">
        <is>
          <t>Документация и согласование ИБ</t>
        </is>
      </c>
      <c r="D38" s="9" t="inlineStr">
        <is>
          <t>Все (сквозная работа)</t>
        </is>
      </c>
      <c r="E38" s="9" t="inlineStr">
        <is>
          <t>Документы и диаграммы пакета сдачи</t>
        </is>
      </c>
      <c r="F38" s="9" t="inlineStr">
        <is>
          <t>Сверка диаграммы Backend с кодом сделана частично; согласования с ИБ по триггерам self-hosted-перехода не было.</t>
        </is>
      </c>
      <c r="G38" s="9" t="inlineStr">
        <is>
          <t>Не применимо: это работа, а не выбор технологии.</t>
        </is>
      </c>
      <c r="H38" s="9" t="inlineStr">
        <is>
          <t>Не применимо: это работа, а не выбор технологии; состав — ADR-600, раздел «Документация и согласование ИБ»</t>
        </is>
      </c>
      <c r="I38" s="9" t="inlineStr">
        <is>
          <t>Календарный срок определяет служба ИБ водоканала.</t>
        </is>
      </c>
      <c r="J38" s="9" t="inlineStr">
        <is>
          <t>Полная сверка диаграмм с кодом, нагрузочные и security-сценарии, резюме для CTO.</t>
        </is>
      </c>
      <c r="K38" s="9" t="inlineStr">
        <is>
          <t>—</t>
        </is>
      </c>
      <c r="L38" s="9" t="inlineStr">
        <is>
          <t>Условие перехода к Этапу 2 — согласование ИБ (ADR-100/600).</t>
        </is>
      </c>
      <c r="M38" s="17" t="n">
        <v>5</v>
      </c>
      <c r="N38" s="25" t="n">
        <v>7.5</v>
      </c>
      <c r="O38" s="18" t="inlineStr">
        <is>
          <t>Из блока ADR-600: Документация и ИБ</t>
        </is>
      </c>
      <c r="P38" s="9" t="inlineStr">
        <is>
          <t>Согласование перечня триггеров self-hosted-перехода с ИБ.</t>
        </is>
      </c>
      <c r="Q38" s="9" t="inlineStr">
        <is>
          <t>—</t>
        </is>
      </c>
      <c r="R38" s="9" t="inlineStr">
        <is>
          <t>Триггеры должны быть согласованы до срабатывания, а не после.</t>
        </is>
      </c>
      <c r="S38" s="19" t="n"/>
      <c r="T38" s="19" t="n"/>
      <c r="U38" s="9" t="n"/>
      <c r="V38" s="9" t="inlineStr">
        <is>
          <t>ADR-400; ADR-600</t>
        </is>
      </c>
    </row>
    <row r="39">
      <c r="A39" s="9" t="n">
        <v>37</v>
      </c>
      <c r="B39" s="23" t="inlineStr">
        <is>
          <t>Сквозная работа</t>
        </is>
      </c>
      <c r="C39" s="11" t="inlineStr">
        <is>
          <t>GPU-узел в кластере владельца (решение после проверки на реальных данных)</t>
        </is>
      </c>
      <c r="D39" s="9" t="inlineStr">
        <is>
          <t>Kubernetes-кластер владельца (новый GPU-узел); embedding-inference; reranker-inference; ETL индексации</t>
        </is>
      </c>
      <c r="E39" s="9" t="inlineStr">
        <is>
          <t>Kubernetes: плагин устройств GPU, метки узлов и taints; драйвер видеокарты</t>
        </is>
      </c>
      <c r="F39"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9"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9"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9" s="9" t="inlineStr">
        <is>
          <t>Цена и сроки закупки сервера не оценены; скорость моделей на GPU не измерялась; отдел владельца GPU не эксплуатировал.</t>
        </is>
      </c>
      <c r="J39"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9" s="9" t="inlineStr">
        <is>
          <t>Kubernetes: плагин устройств GPU, метки узлов и taints; драйвер видеокарты.</t>
        </is>
      </c>
      <c r="L39"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9" s="12" t="n">
        <v>3</v>
      </c>
      <c r="N39" s="12" t="n">
        <v>5</v>
      </c>
      <c r="O39" s="13" t="inlineStr">
        <is>
          <t>По триггеру (решение владельца после проверки на реальных данных; оценка автора)</t>
        </is>
      </c>
      <c r="P39" s="14" t="inlineStr">
        <is>
          <t>Без изменений</t>
        </is>
      </c>
      <c r="Q39" s="15" t="n"/>
      <c r="R39" s="15" t="n"/>
      <c r="S39" s="16" t="n"/>
      <c r="T39" s="16" t="n"/>
      <c r="U39" s="15" t="n"/>
      <c r="V39" s="9" t="inlineStr">
        <is>
          <t>ADR-200; ADR-300; ADR-500; ADR-600</t>
        </is>
      </c>
    </row>
    <row r="40">
      <c r="A40" s="9" t="n">
        <v>38</v>
      </c>
      <c r="B40" s="23" t="inlineStr">
        <is>
          <t>Сквозная работа</t>
        </is>
      </c>
      <c r="C40" s="11" t="inlineStr">
        <is>
          <t>Выбор семейства собственной модели и закупка GPU</t>
        </is>
      </c>
      <c r="D40" s="9" t="inlineStr">
        <is>
          <t>LLM Provider (собственная модель, тираж); LLM Gateway; GPU-пул</t>
        </is>
      </c>
      <c r="E40" s="9" t="inlineStr">
        <is>
          <t>Qwen2.5-32B INT4; vLLM; 1× GPU A100 80 ГБ</t>
        </is>
      </c>
      <c r="F40" s="9" t="inlineStr">
        <is>
          <t>Выбор Qwen2.5 сделан по репутации, на эталонном наборе не проверен.</t>
        </is>
      </c>
      <c r="G40"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40" s="9" t="inlineStr">
        <is>
          <t>ADR-300, раздел 4, подраздел «Сравнение семейства self-hosted-модели тиража»; стоимость — ADR-500</t>
        </is>
      </c>
      <c r="I40" s="9" t="inlineStr">
        <is>
          <t>Закупка оборудования — недели или месяцы, это снабжение, не разработка.</t>
        </is>
      </c>
      <c r="J40" s="14" t="inlineStr">
        <is>
          <t>Без изменений</t>
        </is>
      </c>
      <c r="K40" s="15" t="n"/>
      <c r="L40" s="15" t="n"/>
      <c r="M40" s="16" t="n"/>
      <c r="N40" s="16" t="n"/>
      <c r="O40" s="15" t="n"/>
      <c r="P40" s="9" t="inlineStr">
        <is>
          <t>Сравнение семейств на эталонном наборе; закупка и ввод GPU-сервера 1× A100 80 ГБ.</t>
        </is>
      </c>
      <c r="Q40" s="9" t="inlineStr">
        <is>
          <t>Qwen2.5-32B INT4, vLLM.</t>
        </is>
      </c>
      <c r="R40" s="9" t="inlineStr">
        <is>
          <t>Аренда исключена не по цене, а по триггеру (речь о собственной модели генерации; для проверки эмбеддингов и реранкера на MVP аренда на месяц допустима): облачный GPU считается внешним сервисом.</t>
        </is>
      </c>
      <c r="S40" s="20" t="n">
        <v>3</v>
      </c>
      <c r="T40" s="20" t="n">
        <v>5</v>
      </c>
      <c r="U40" s="21" t="inlineStr">
        <is>
          <t>ADR-600</t>
        </is>
      </c>
      <c r="V40" s="9" t="inlineStr">
        <is>
          <t>ADR-300; ADR-500; ADR-600</t>
        </is>
      </c>
    </row>
    <row r="41">
      <c r="A41" s="9" t="n">
        <v>39</v>
      </c>
      <c r="B41" s="23" t="inlineStr">
        <is>
          <t>Сквозная работа</t>
        </is>
      </c>
      <c r="C41" s="11" t="inlineStr">
        <is>
          <t>Анализ всех типов обращений на живых данных и повторный выбор моделей</t>
        </is>
      </c>
      <c r="D41" s="9" t="inlineStr">
        <is>
          <t>Backend (Triage, ответчики); embedding-inference; reranker-inference; Qdrant (переиндексация при смене модели); LLM Gateway (пороги)</t>
        </is>
      </c>
      <c r="E41" s="9" t="inlineStr">
        <is>
          <t>Скрипты замера (`scripts/`), `golden_set/`, PII Filter; результат — Inquiry_Types.xlsx</t>
        </is>
      </c>
      <c r="F41"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1" s="9" t="inlineStr">
        <is>
          <t>Не применимо: это работа, а не выбор технологии; сравнение моделей входит в её состав.</t>
        </is>
      </c>
      <c r="H41" s="9" t="inlineStr">
        <is>
          <t>ADR-300, разделы 1–2 (решение); ADR-600, раздел «Анализ типов обращений на живых данных»</t>
        </is>
      </c>
      <c r="I41"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1"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триггер 4 перехода агента на LangGraph (выше 5%, ADR-200); в пределах оценки.</t>
        </is>
      </c>
      <c r="K41" s="9" t="inlineStr">
        <is>
          <t>Скрипты замера (`scripts/measure_classifier.py`, `measure_search_models.py`), `golden_set/`, PII Filter; результат — обновлённый `Inquiry_Types.xlsx`.</t>
        </is>
      </c>
      <c r="L41"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1" s="17" t="n">
        <v>13</v>
      </c>
      <c r="N41" s="17" t="n">
        <v>19</v>
      </c>
      <c r="O41" s="18" t="inlineStr">
        <is>
          <t>Из блока ADR-600: Анализ типов на живых данных</t>
        </is>
      </c>
      <c r="P41" s="9" t="inlineStr">
        <is>
          <t>Повторное решение по моделям для тиража по живой статистике MVP.</t>
        </is>
      </c>
      <c r="Q41" s="9" t="inlineStr">
        <is>
          <t>Те же скрипты замера; при смене модели — переиндексация и пересчёт порогов k-NN.</t>
        </is>
      </c>
      <c r="R41" s="9" t="inlineStr">
        <is>
          <t>Проверить, что модель MVP годится при нагрузке тиража; при необходимости пересчитать пороги и sizing.</t>
        </is>
      </c>
      <c r="S41" s="20" t="n">
        <v>2</v>
      </c>
      <c r="T41" s="20" t="n">
        <v>3</v>
      </c>
      <c r="U41" s="21" t="inlineStr">
        <is>
          <t>ADR-600</t>
        </is>
      </c>
      <c r="V41" s="9" t="inlineStr">
        <is>
          <t>ADR-300; ADR-600; Inquiry_Types.xlsx</t>
        </is>
      </c>
    </row>
    <row r="42">
      <c r="A42" s="9" t="n">
        <v>40</v>
      </c>
      <c r="B42" s="23" t="inlineStr">
        <is>
          <t>Сквозная работа</t>
        </is>
      </c>
      <c r="C42" s="11" t="inlineStr">
        <is>
          <t>Несколько задач в одной реплике (доработка после прототипа)</t>
        </is>
      </c>
      <c r="D42" s="9" t="inlineStr">
        <is>
          <t>Backend (оркестратор, детектор намерений); LLM Gateway (охранитель, правило в промпте); Session State Store; виджет (кнопки нескольких обращений)</t>
        </is>
      </c>
      <c r="E42" s="9" t="inlineStr">
        <is>
          <t>Python; `app/agents/intents.py` (правила на регулярных выражениях); `Orchestrator._stream_parts`; `unperformed_action` в `app/gateway/guardrails.py`; метрика `assistant_multi_intent_total`</t>
        </is>
      </c>
      <c r="F42"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2"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2"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2"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2"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2" s="9" t="inlineStr">
        <is>
          <t>Python; правила на регулярных выражениях; метрика `assistant_multi_intent_total`; состояние диалога в Redis.</t>
        </is>
      </c>
      <c r="L42" s="9" t="inlineStr">
        <is>
          <t>Без этого вторая задача реплики теряется, а модель может написать, что выполнила операцию; доля многозадачных реплик по разметке людьми — условие перехода на LangGraph (триггер 4).</t>
        </is>
      </c>
      <c r="M42" s="17" t="n">
        <v>9</v>
      </c>
      <c r="N42" s="17" t="n">
        <v>14</v>
      </c>
      <c r="O42" s="18" t="inlineStr">
        <is>
          <t>Из блока ADR-600: Несколько задач в одной реплике (доработка после прототипа)</t>
        </is>
      </c>
      <c r="P42" s="14" t="inlineStr">
        <is>
          <t>Без изменений</t>
        </is>
      </c>
      <c r="Q42" s="15" t="n"/>
      <c r="R42" s="15" t="n"/>
      <c r="S42" s="16" t="n"/>
      <c r="T42" s="16" t="n"/>
      <c r="U42" s="15" t="n"/>
      <c r="V42" s="9" t="inlineStr">
        <is>
          <t>ADR-100; ADR-200; ADR-400; ADR-600</t>
        </is>
      </c>
    </row>
    <row r="43">
      <c r="A43" s="9" t="n">
        <v>41</v>
      </c>
      <c r="B43" s="23" t="inlineStr">
        <is>
          <t>Сквозная работа</t>
        </is>
      </c>
      <c r="C43" s="11" t="inlineStr">
        <is>
          <t>Проверка на живых данных: Guardrails и выбор провайдера (YandexGPT, GigaChat)</t>
        </is>
      </c>
      <c r="D43" s="9" t="inlineStr">
        <is>
          <t>LLM Gateway; Guardrails; LLM Provider (YandexGPT, GigaChat); Backend; PII Filter</t>
        </is>
      </c>
      <c r="E43" s="9" t="inlineStr">
        <is>
          <t>Скрипты замера (`scripts/`), судья качества, метрики Prometheus, LiteLLM Router (цепочки переключения), PII Filter</t>
        </is>
      </c>
      <c r="F43"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3" s="9" t="inlineStr">
        <is>
          <t>Не применимо: это работа, а не выбор технологии; сравнение YandexGPT и GigaChat на живых данных — её содержание.</t>
        </is>
      </c>
      <c r="H43"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3"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3"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3"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3"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3" s="17" t="n">
        <v>11</v>
      </c>
      <c r="N43" s="17" t="n">
        <v>18</v>
      </c>
      <c r="O43" s="18" t="inlineStr">
        <is>
          <t>Из блока ADR-600: Проверка Guardrails и провайдеров на живых данных</t>
        </is>
      </c>
      <c r="P43" s="14" t="inlineStr">
        <is>
          <t>Без изменений</t>
        </is>
      </c>
      <c r="Q43" s="15" t="n"/>
      <c r="R43" s="15" t="n"/>
      <c r="S43" s="16" t="n"/>
      <c r="T43" s="16" t="n"/>
      <c r="U43" s="15" t="n"/>
      <c r="V43" s="9" t="inlineStr">
        <is>
          <t>ADR-300; ADR-400; ADR-600</t>
        </is>
      </c>
    </row>
    <row r="45">
      <c r="C45" s="26" t="inlineStr">
        <is>
          <t>Цвет ячеек с оценкой:</t>
        </is>
      </c>
    </row>
    <row r="46">
      <c r="C46" s="27" t="n"/>
      <c r="D46" s="28" t="inlineStr">
        <is>
          <t>цифра прямо из ADR-600</t>
        </is>
      </c>
    </row>
    <row r="47">
      <c r="C47" s="29" t="n"/>
      <c r="D47" s="28" t="inlineStr">
        <is>
          <t>цифра блока ADR-600 (или его доля, распределённая автором) — подтвердить</t>
        </is>
      </c>
    </row>
    <row r="48">
      <c r="C48" s="30" t="n"/>
      <c r="D48" s="28" t="inlineStr">
        <is>
          <t>в ADR-600 нет, оценка автора — подтвердить</t>
        </is>
      </c>
    </row>
    <row r="49">
      <c r="C49" s="31" t="n"/>
      <c r="D49" s="28" t="inlineStr">
        <is>
          <t>изменений на этом этапе нет</t>
        </is>
      </c>
    </row>
  </sheetData>
  <autoFilter ref="A2:V43"/>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4"/>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SUM('Матрица'!$M$3:$M$43)-SUMIF('Матрица'!$O$3:$O$43,"По триггеру*",'Матрица'!$M$3:$M$43)</f>
        <v/>
      </c>
      <c r="C5" s="34">
        <f>SUM('Матрица'!$N$3:$N$43)-SUMIF('Матрица'!$O$3:$O$43,"По триггеру*",'Матрица'!$N$3:$N$43)</f>
        <v/>
      </c>
      <c r="D5" s="34">
        <f>B5/5</f>
        <v/>
      </c>
      <c r="E5" s="34">
        <f>C5/5</f>
        <v/>
      </c>
      <c r="F5" s="35">
        <f>SUMIF('Матрица'!$O$3:$O$43,"ADR-600",'Матрица'!$M$3:$M$43)</f>
        <v/>
      </c>
      <c r="G5" s="35">
        <f>SUMIF('Матрица'!$O$3:$O$43,"ADR-600",'Матрица'!$N$3:$N$43)</f>
        <v/>
      </c>
      <c r="H5" s="36">
        <f>SUMIF('Матрица'!$O$3:$O$43,"Из блока*",'Матрица'!$M$3:$M$43)</f>
        <v/>
      </c>
      <c r="I5" s="36">
        <f>SUMIF('Матрица'!$O$3:$O$43,"Из блока*",'Матрица'!$N$3:$N$43)</f>
        <v/>
      </c>
      <c r="J5" s="37">
        <f>SUMIF('Матрица'!$O$3:$O$43,"Оценка автора",'Матрица'!$M$3:$M$43)</f>
        <v/>
      </c>
      <c r="K5" s="37">
        <f>SUMIF('Матрица'!$O$3:$O$43,"Оценка автора",'Матрица'!$N$3:$N$43)</f>
        <v/>
      </c>
      <c r="L5" s="34">
        <f>SUMIF('Матрица'!$O$3:$O$43,"По триггеру*",'Матрица'!$M$3:$M$43)</f>
        <v/>
      </c>
      <c r="M5" s="34">
        <f>SUMIF('Матрица'!$O$3:$O$43,"По триггеру*",'Матрица'!$N$3:$N$43)</f>
        <v/>
      </c>
    </row>
    <row r="6">
      <c r="A6" s="11" t="inlineStr">
        <is>
          <t>Тираж — 90 000 абонентов</t>
        </is>
      </c>
      <c r="B6" s="34">
        <f>SUM('Матрица'!$S$3:$S$43)-SUMIF('Матрица'!$U$3:$U$43,"По триггеру*",'Матрица'!$S$3:$S$43)</f>
        <v/>
      </c>
      <c r="C6" s="34">
        <f>SUM('Матрица'!$T$3:$T$43)-SUMIF('Матрица'!$U$3:$U$43,"По триггеру*",'Матрица'!$T$3:$T$43)</f>
        <v/>
      </c>
      <c r="D6" s="34">
        <f>B6/5</f>
        <v/>
      </c>
      <c r="E6" s="34">
        <f>C6/5</f>
        <v/>
      </c>
      <c r="F6" s="35">
        <f>SUMIF('Матрица'!$U$3:$U$43,"ADR-600",'Матрица'!$S$3:$S$43)</f>
        <v/>
      </c>
      <c r="G6" s="35">
        <f>SUMIF('Матрица'!$U$3:$U$43,"ADR-600",'Матрица'!$T$3:$T$43)</f>
        <v/>
      </c>
      <c r="H6" s="36">
        <f>SUMIF('Матрица'!$U$3:$U$43,"Из блока*",'Матрица'!$S$3:$S$43)</f>
        <v/>
      </c>
      <c r="I6" s="36">
        <f>SUMIF('Матрица'!$U$3:$U$43,"Из блока*",'Матрица'!$T$3:$T$43)</f>
        <v/>
      </c>
      <c r="J6" s="37">
        <f>SUMIF('Матрица'!$U$3:$U$43,"Оценка автора",'Матрица'!$S$3:$S$43)</f>
        <v/>
      </c>
      <c r="K6" s="37">
        <f>SUMIF('Матрица'!$U$3:$U$43,"Оценка автора",'Матрица'!$T$3:$T$43)</f>
        <v/>
      </c>
      <c r="L6" s="34">
        <f>SUMIF('Матрица'!$U$3:$U$43,"По триггеру*",'Матрица'!$S$3:$S$43)</f>
        <v/>
      </c>
      <c r="M6" s="34">
        <f>SUMIF('Матрица'!$U$3:$U$43,"По триггеру*",'Матрица'!$T$3:$T$43)</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SUMIF('Матрица'!$O$3:$O$43,"Из блока ADR-600: P0",'Матрица'!$M$3:$M$43)</f>
        <v/>
      </c>
      <c r="E15" s="34">
        <f>SUMIF('Матрица'!$O$3:$O$43,"Из блока ADR-600: P0",'Матрица'!$N$3:$N$43)</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SUMIF('Матрица'!$O$3:$O$43,"Из блока ADR-600: Согласования",'Матрица'!$M$3:$M$43)</f>
        <v/>
      </c>
      <c r="E16" s="34">
        <f>SUMIF('Матрица'!$O$3:$O$43,"Из блока ADR-600: Согласования",'Матрица'!$N$3:$N$43)</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SUMIF('Матрица'!$O$3:$O$43,"Из блока ADR-600: Качество поиска и классификации",'Матрица'!$M$3:$M$43)</f>
        <v/>
      </c>
      <c r="E17" s="34">
        <f>SUMIF('Матрица'!$O$3:$O$43,"Из блока ADR-600: Качество поиска и классификации",'Матрица'!$N$3:$N$43)</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SUMIF('Матрица'!$O$3:$O$43,"Из блока ADR-600: Основная разработка Этапа 2",'Матрица'!$M$3:$M$43)</f>
        <v/>
      </c>
      <c r="E18" s="34">
        <f>SUMIF('Матрица'!$O$3:$O$43,"Из блока ADR-600: Основная разработка Этапа 2",'Матрица'!$N$3:$N$43)</f>
        <v/>
      </c>
      <c r="F18" s="44">
        <f>IF(AND(D18=B18,E18=C18),"да","НЕТ")</f>
        <v/>
      </c>
      <c r="G18" s="9" t="inlineStr">
        <is>
          <t>4–6 недель</t>
        </is>
      </c>
    </row>
    <row r="19">
      <c r="A19" s="11" t="inlineStr">
        <is>
          <t>Документация и ИБ</t>
        </is>
      </c>
      <c r="B19" s="34" t="n">
        <v>5</v>
      </c>
      <c r="C19" s="34" t="n">
        <v>7.5</v>
      </c>
      <c r="D19" s="34">
        <f>SUMIF('Матрица'!$O$3:$O$43,"Из блока ADR-600: Документация и ИБ",'Матрица'!$M$3:$M$43)</f>
        <v/>
      </c>
      <c r="E19" s="34">
        <f>SUMIF('Матрица'!$O$3:$O$43,"Из блока ADR-600: Документация и ИБ",'Матрица'!$N$3:$N$43)</f>
        <v/>
      </c>
      <c r="F19" s="44">
        <f>IF(AND(D19=B19,E19=C19),"да","НЕТ")</f>
        <v/>
      </c>
      <c r="G19" s="9" t="inlineStr">
        <is>
          <t>1–1,5 недели</t>
        </is>
      </c>
    </row>
    <row r="20">
      <c r="A20" s="11" t="inlineStr">
        <is>
          <t>Анализ типов на живых данных</t>
        </is>
      </c>
      <c r="B20" s="34" t="n">
        <v>13</v>
      </c>
      <c r="C20" s="34" t="n">
        <v>19</v>
      </c>
      <c r="D20" s="34">
        <f>SUMIF('Матрица'!$O$3:$O$43,"Из блока ADR-600: Анализ типов на живых данных",'Матрица'!$M$3:$M$43)</f>
        <v/>
      </c>
      <c r="E20" s="34">
        <f>SUMIF('Матрица'!$O$3:$O$43,"Из блока ADR-600: Анализ типов на живых данных",'Матрица'!$N$3:$N$43)</f>
        <v/>
      </c>
      <c r="F20" s="44">
        <f>IF(AND(D20=B20,E20=C20),"да","НЕТ")</f>
        <v/>
      </c>
      <c r="G20" s="9" t="inlineStr">
        <is>
          <t>13–19 чел-дн (ADR-600, дополнительно к блоку «Качество поиска и классификации»)</t>
        </is>
      </c>
    </row>
    <row r="21">
      <c r="A21" s="11" t="inlineStr">
        <is>
          <t>Несколько задач в одной реплике (доработка после прототипа)</t>
        </is>
      </c>
      <c r="B21" s="34" t="n">
        <v>9</v>
      </c>
      <c r="C21" s="34" t="n">
        <v>14</v>
      </c>
      <c r="D21" s="34">
        <f>SUMIF('Матрица'!$O$3:$O$43,"Из блока ADR-600: Несколько задач в одной реплике (доработка после прототипа)",'Матрица'!$M$3:$M$43)</f>
        <v/>
      </c>
      <c r="E21" s="34">
        <f>SUMIF('Матрица'!$O$3:$O$43,"Из блока ADR-600: Несколько задач в одной реплике (доработка после прототипа)",'Матрица'!$N$3:$N$43)</f>
        <v/>
      </c>
      <c r="F21" s="44">
        <f>IF(AND(D21=B21,E21=C21),"да","НЕТ")</f>
        <v/>
      </c>
      <c r="G21" s="9" t="inlineStr">
        <is>
          <t>9–14 чел-дн (ADR-600): проверка детектора на репликах чата 3–4, несколько обращений из одной реплики 3–5, условия помимо долга 2–3, путь generate и лимиты 1–2</t>
        </is>
      </c>
    </row>
    <row r="22">
      <c r="A22" s="11" t="inlineStr">
        <is>
          <t>Проверка Guardrails и провайдеров на живых данных</t>
        </is>
      </c>
      <c r="B22" s="34" t="n">
        <v>11</v>
      </c>
      <c r="C22" s="34" t="n">
        <v>18</v>
      </c>
      <c r="D22" s="34">
        <f>SUMIF('Матрица'!$O$3:$O$43,"Из блока ADR-600: Проверка Guardrails и провайдеров на живых данных",'Матрица'!$M$3:$M$43)</f>
        <v/>
      </c>
      <c r="E22" s="34">
        <f>SUMIF('Матрица'!$O$3:$O$43,"Из блока ADR-600: Проверка Guardrails и провайдеров на живых данных",'Матрица'!$N$3:$N$43)</f>
        <v/>
      </c>
      <c r="F22" s="44">
        <f>IF(AND(D22=B22,E22=C22),"да","НЕТ")</f>
        <v/>
      </c>
      <c r="G22" s="9" t="inlineStr">
        <is>
          <t>11–18 чел-дн (ADR-600): выборка 1–2, Guardrails 4–6, оптимизация синхронной проверки 1–2, сравнение провайдеров 4–6, решение 1–2</t>
        </is>
      </c>
    </row>
    <row r="23">
      <c r="A23" s="11" t="inlineStr">
        <is>
          <t>Итого по блокам</t>
        </is>
      </c>
      <c r="B23" s="38">
        <f>SUM(B15:B22)</f>
        <v/>
      </c>
      <c r="C23" s="38">
        <f>SUM(C15:C22)</f>
        <v/>
      </c>
      <c r="D23" s="38">
        <f>SUM(D15:D22)</f>
        <v/>
      </c>
      <c r="E23" s="38">
        <f>SUM(E15:E22)</f>
        <v/>
      </c>
      <c r="F23" s="45">
        <f>IF(AND(D23=B23,E23=C23),"да","НЕТ")</f>
        <v/>
      </c>
      <c r="G23" s="9" t="inlineStr">
        <is>
          <t>ADR-600 называет итог ≈22–34 недели (≈110–170 чел-дн); сумма блоков 111,5–169,5 — округление в самом ADR-600</t>
        </is>
      </c>
    </row>
    <row r="25">
      <c r="A25" s="43" t="inlineStr">
        <is>
          <t>Затраты, которые не выражаются человеко-днями</t>
        </is>
      </c>
    </row>
    <row r="26">
      <c r="A26" s="5" t="inlineStr">
        <is>
          <t>Контур</t>
        </is>
      </c>
      <c r="B26" s="5" t="inlineStr">
        <is>
          <t>Статья</t>
        </is>
      </c>
      <c r="C26" s="5" t="inlineStr">
        <is>
          <t>Значение / комментарий</t>
        </is>
      </c>
      <c r="D26" s="5" t="inlineStr">
        <is>
          <t>От</t>
        </is>
      </c>
      <c r="E26" s="5" t="inlineStr">
        <is>
          <t>До</t>
        </is>
      </c>
      <c r="F26" s="5" t="inlineStr">
        <is>
          <t>Единица</t>
        </is>
      </c>
      <c r="G26" s="5" t="inlineStr">
        <is>
          <t>Источник</t>
        </is>
      </c>
    </row>
    <row r="27">
      <c r="A27" s="11" t="inlineStr">
        <is>
          <t>MVP</t>
        </is>
      </c>
      <c r="B27" s="9" t="inlineStr">
        <is>
          <t>Токены генерации (YandexGPT Pro, 0,8 ₽ за 1000 токенов)</t>
        </is>
      </c>
      <c r="C27" s="9" t="inlineStr">
        <is>
          <t>Минимум — 1 234 ₽/мес (7% абонентов в чате, 30% вопросов до модели, 401 токен на запрос, судья раз в неделю); максимум — 101 280 ₽/мес (35%, 70%, 3 500 токенов, судья каждую ночь). Допущения о спросе данными водоканала не подтверждены; разброс ×82</t>
        </is>
      </c>
      <c r="D27" s="42" t="n">
        <v>1234</v>
      </c>
      <c r="E27" s="42" t="n">
        <v>101280</v>
      </c>
      <c r="F27" s="9" t="inlineStr">
        <is>
          <t>₽/мес</t>
        </is>
      </c>
      <c r="G27" s="9" t="inlineStr">
        <is>
          <t>Capacity_Report; лист «Прогноз стоимости»</t>
        </is>
      </c>
    </row>
    <row r="28">
      <c r="A28" s="11" t="inlineStr">
        <is>
          <t>Тираж</t>
        </is>
      </c>
      <c r="B28" s="9" t="inlineStr">
        <is>
          <t>Токены генерации и судьи качества (тариф YandexGPT Pro 0,8 ₽ за 1000 токенов)</t>
        </is>
      </c>
      <c r="C28" s="9" t="inlineStr">
        <is>
          <t>Минимум — 3 305 ₽/мес, максимум — 1,07 млн ₽/мес (0,66 вопроса/с в пике); при собственной модели заменяется CAPEX на карту</t>
        </is>
      </c>
      <c r="D28" s="42" t="n">
        <v>3305</v>
      </c>
      <c r="E28" s="42" t="n">
        <v>1065600</v>
      </c>
      <c r="F28" s="9" t="inlineStr">
        <is>
          <t>₽/мес</t>
        </is>
      </c>
      <c r="G28" s="9" t="inlineStr">
        <is>
          <t>Capacity_Report; лист «Прогноз стоимости»</t>
        </is>
      </c>
    </row>
    <row r="29">
      <c r="A29" s="11" t="inlineStr">
        <is>
          <t>MVP</t>
        </is>
      </c>
      <c r="B29" s="9" t="inlineStr">
        <is>
          <t>GPU-сервер под эмбеддинги и реранкер (только если владелец добавит GPU-узел: в кластере GPU нет)</t>
        </is>
      </c>
      <c r="C29" s="9" t="inlineStr">
        <is>
          <t>Не оценён отдельной строкой сметы; скорость на GPU не измерялась</t>
        </is>
      </c>
      <c r="D29" s="42" t="n"/>
      <c r="E29" s="42" t="n"/>
      <c r="F29" s="9" t="inlineStr">
        <is>
          <t>₽</t>
        </is>
      </c>
      <c r="G29" s="9" t="inlineStr">
        <is>
          <t>ADR-500 (открытый пункт)</t>
        </is>
      </c>
    </row>
    <row r="30">
      <c r="A30" s="11" t="inlineStr">
        <is>
          <t>MVP</t>
        </is>
      </c>
      <c r="B30" s="9" t="inlineStr">
        <is>
          <t>Kubernetes-кластер, хранилища, наблюдаемость (железо, размещение, обслуживание)</t>
        </is>
      </c>
      <c r="C30" s="9" t="inlineStr">
        <is>
          <t>Не оценены</t>
        </is>
      </c>
      <c r="D30" s="42" t="n"/>
      <c r="E30" s="42" t="n"/>
      <c r="F30" s="9" t="inlineStr">
        <is>
          <t>₽</t>
        </is>
      </c>
      <c r="G30" s="9" t="inlineStr">
        <is>
          <t>ADR-500 (открытый пункт)</t>
        </is>
      </c>
    </row>
    <row r="31">
      <c r="A31" s="11" t="inlineStr">
        <is>
          <t>Тираж</t>
        </is>
      </c>
      <c r="B31" s="9" t="inlineStr">
        <is>
          <t>Карта A100 80 ГБ (покупка)</t>
        </is>
      </c>
      <c r="C31" s="9" t="inlineStr">
        <is>
          <t>OEM ≈927 000 ₽; оригинал/сертифицированная ≈2 368 080 ₽ (аренда 35–50 тыс. ₽/мес исключена триггером). Источник цен в проекте не зафиксирован, коммерческих предложений нет — подтвердить</t>
        </is>
      </c>
      <c r="D31" s="42" t="n">
        <v>927000</v>
      </c>
      <c r="E31" s="42" t="n">
        <v>2368080</v>
      </c>
      <c r="F31" s="9" t="inlineStr">
        <is>
          <t>₽</t>
        </is>
      </c>
      <c r="G31" s="9" t="inlineStr">
        <is>
          <t>ADR-500</t>
        </is>
      </c>
    </row>
    <row r="32">
      <c r="A32" s="11" t="inlineStr">
        <is>
          <t>Тираж</t>
        </is>
      </c>
      <c r="B32" s="9" t="inlineStr">
        <is>
          <t>Сервер-хост, электричество, размещение, обслуживание GPU</t>
        </is>
      </c>
      <c r="C32" s="9" t="inlineStr">
        <is>
          <t>Не оценены</t>
        </is>
      </c>
      <c r="D32" s="42" t="n"/>
      <c r="E32" s="42" t="n"/>
      <c r="F32" s="9" t="inlineStr">
        <is>
          <t>₽</t>
        </is>
      </c>
      <c r="G32" s="9" t="inlineStr">
        <is>
          <t>ADR-500 (открытый пункт)</t>
        </is>
      </c>
    </row>
    <row r="34">
      <c r="A34"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только 30–70% вопросов доходит до модели.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измерено 401 (19 вызовов, фрагменты FAQ до 300 знаков), допущение максимума — 3 500. Пересчёт после получения данных — 3–5 чел-дн, по пилоту — 1–2 (блок P0 ADR-600).</t>
        </is>
      </c>
    </row>
    <row r="8" ht="135"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Loki,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3">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'Матрица'!A25</f>
        <v/>
      </c>
      <c r="B38" s="9">
        <f>'Матрица'!C25</f>
        <v/>
      </c>
      <c r="C38" s="9" t="inlineStr">
        <is>
          <t>MVP</t>
        </is>
      </c>
      <c r="D38" s="34">
        <f>'Матрица'!M25</f>
        <v/>
      </c>
      <c r="E38" s="34">
        <f>'Матрица'!N25</f>
        <v/>
      </c>
      <c r="F38" s="13">
        <f>'Матрица'!O25</f>
        <v/>
      </c>
    </row>
    <row r="39">
      <c r="A39" s="9">
        <f>'Матрица'!A27</f>
        <v/>
      </c>
      <c r="B39" s="9">
        <f>'Матрица'!C27</f>
        <v/>
      </c>
      <c r="C39" s="9" t="inlineStr">
        <is>
          <t>MVP</t>
        </is>
      </c>
      <c r="D39" s="34">
        <f>'Матрица'!M27</f>
        <v/>
      </c>
      <c r="E39" s="34">
        <f>'Матрица'!N27</f>
        <v/>
      </c>
      <c r="F39" s="13">
        <f>'Матрица'!O27</f>
        <v/>
      </c>
    </row>
    <row r="40">
      <c r="A40" s="9">
        <f>'Матрица'!A29</f>
        <v/>
      </c>
      <c r="B40" s="9">
        <f>'Матрица'!C29</f>
        <v/>
      </c>
      <c r="C40" s="9" t="inlineStr">
        <is>
          <t>MVP</t>
        </is>
      </c>
      <c r="D40" s="34">
        <f>'Матрица'!M29</f>
        <v/>
      </c>
      <c r="E40" s="34">
        <f>'Матрица'!N29</f>
        <v/>
      </c>
      <c r="F40" s="18">
        <f>'Матрица'!O29</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8">
        <f>'Матрица'!O38</f>
        <v/>
      </c>
    </row>
    <row r="44">
      <c r="A44" s="9">
        <f>'Матрица'!A39</f>
        <v/>
      </c>
      <c r="B44" s="9">
        <f>'Матрица'!C39</f>
        <v/>
      </c>
      <c r="C44" s="9" t="inlineStr">
        <is>
          <t>MVP</t>
        </is>
      </c>
      <c r="D44" s="34">
        <f>'Матрица'!M39</f>
        <v/>
      </c>
      <c r="E44" s="34">
        <f>'Матрица'!N39</f>
        <v/>
      </c>
      <c r="F44" s="13">
        <f>'Матрица'!O39</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7">
      <c r="A47" s="9">
        <f>'Матрица'!A43</f>
        <v/>
      </c>
      <c r="B47" s="9">
        <f>'Матрица'!C43</f>
        <v/>
      </c>
      <c r="C47" s="9" t="inlineStr">
        <is>
          <t>MVP</t>
        </is>
      </c>
      <c r="D47" s="34">
        <f>'Матрица'!M43</f>
        <v/>
      </c>
      <c r="E47" s="34">
        <f>'Матрица'!N43</f>
        <v/>
      </c>
      <c r="F47" s="18">
        <f>'Матрица'!O43</f>
        <v/>
      </c>
    </row>
    <row r="49">
      <c r="B49" s="43" t="inlineStr">
        <is>
          <t>Документы-источники</t>
        </is>
      </c>
    </row>
    <row r="50">
      <c r="B50" s="11" t="inlineStr">
        <is>
          <t>ADR-100</t>
        </is>
      </c>
      <c r="C50" s="9" t="inlineStr">
        <is>
          <t>Что сдано и что отложено; таблица «целевой компонент — замена на прототипе»</t>
        </is>
      </c>
    </row>
    <row r="51">
      <c r="B51" s="11" t="inlineStr">
        <is>
          <t>ADR-200</t>
        </is>
      </c>
      <c r="C51" s="9" t="inlineStr">
        <is>
          <t>Стек по слоям, альтернативы, сравнение Python/Go/Node.js</t>
        </is>
      </c>
    </row>
    <row r="52">
      <c r="B52" s="11" t="inlineStr">
        <is>
          <t>ADR-300</t>
        </is>
      </c>
      <c r="C52" s="9" t="inlineStr">
        <is>
          <t>Модели: классификация, эмбеддинги, реранкер, генерация, судья</t>
        </is>
      </c>
    </row>
    <row r="53">
      <c r="B53" s="11" t="inlineStr">
        <is>
          <t>ADR-400</t>
        </is>
      </c>
      <c r="C53" s="9" t="inlineStr">
        <is>
          <t>Безопасность по контурам, открытые пункты</t>
        </is>
      </c>
    </row>
    <row r="54">
      <c r="B54" s="11" t="inlineStr">
        <is>
          <t>ADR-500</t>
        </is>
      </c>
      <c r="C54" s="9" t="inlineStr">
        <is>
          <t>Ресурсы и стоимость: прототип, MVP, тираж</t>
        </is>
      </c>
    </row>
    <row r="55">
      <c r="B55" s="11" t="inlineStr">
        <is>
          <t>ADR-600</t>
        </is>
      </c>
      <c r="C55" s="9" t="inlineStr">
        <is>
          <t>План развития и укрупнённые оценки трудозатрат</t>
        </is>
      </c>
    </row>
    <row r="56">
      <c r="B56" s="11" t="inlineStr">
        <is>
          <t>C4_Deployment, C3/*</t>
        </is>
      </c>
      <c r="C56" s="9" t="inlineStr">
        <is>
          <t>Целевая схема развёртывания и компоненты</t>
        </is>
      </c>
    </row>
    <row r="57">
      <c r="B57" s="11" t="inlineStr">
        <is>
          <t>Код и docker-compose.yml</t>
        </is>
      </c>
      <c r="C57" s="9" t="inlineStr">
        <is>
          <t>Проверка колонки «Сейчас»</t>
        </is>
      </c>
    </row>
  </sheetData>
  <mergeCells count="16">
    <mergeCell ref="C52:F52"/>
    <mergeCell ref="C9:F9"/>
    <mergeCell ref="C53:F53"/>
    <mergeCell ref="C3:F3"/>
    <mergeCell ref="C56:F56"/>
    <mergeCell ref="C8:F8"/>
    <mergeCell ref="C4:F4"/>
    <mergeCell ref="C6:F6"/>
    <mergeCell ref="C7:F7"/>
    <mergeCell ref="C54:F54"/>
    <mergeCell ref="C51:F51"/>
    <mergeCell ref="C57:F57"/>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1,3–23,7 млн токенов в месяц на MVP и 1,9–174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75" customHeight="1">
      <c r="A11" s="50" t="n">
        <v>7</v>
      </c>
      <c r="B11" s="11" t="inlineStr">
        <is>
          <t>LLM Provider</t>
        </is>
      </c>
      <c r="C11" s="9" t="inlineStr">
        <is>
          <t>Токены генерации</t>
        </is>
      </c>
      <c r="D11" s="9" t="inlineStr">
        <is>
          <t>Токенов на запрос: измерено 401 (19 вызовов, фрагменты FAQ до 300 знаков), допущение максимума — 3 500. Стоимость токенов (генерация и судья) — 1 234–101 280 ₽ в месяц на MVP и 3 305 ₽–1,07 млн ₽ на тираже (минимум–максимум); до модели доходит 30–70% вопросов. Агент Этапа 2 добавит до 44 800 ₽ (MVP) и 504 000 ₽ (тираж) в месяц в максимуме.</t>
        </is>
      </c>
      <c r="E11" s="9" t="inlineStr">
        <is>
          <t>Замер (401) и допущение (3 500)</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105" customHeight="1">
      <c r="A15" s="50" t="n">
        <v>11</v>
      </c>
      <c r="B15" s="11" t="inlineStr">
        <is>
          <t>Данные абонента (чтение из Биллинга и Диспетчерской)</t>
        </is>
      </c>
      <c r="C15" s="9" t="inlineStr">
        <is>
          <t>Число вопросов</t>
        </is>
      </c>
      <c r="D15" s="9" t="inlineStr">
        <is>
          <t>Данные не хранятся: читаются из систем в момент вопроса (решение 25 сентября 2026). Верхняя оценка нагрузки на каждую систему — один вызов на вопрос, то есть до 0,058 вызова/с на MVP и 0,656 на тираже в максимуме прогноза (по пути ответа вызовов может быть меньше; доля вопросов, которым нужны данные абонента, не измерена). Скорость и лимиты API владельца неизвестны. Кэш в Redis — только после замера, объём не оценивался.</t>
        </is>
      </c>
      <c r="E15" s="9" t="inlineStr">
        <is>
          <t>Допущение; замер API не проводился</t>
        </is>
      </c>
      <c r="F15" s="9" t="inlineStr">
        <is>
          <t>ADR-200; ADR-600</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6 048–352 800 строк в год на MVP и 68 040–3,97 млн на тираже (≈2–109 МБ и 21 МБ–1,2 ГБ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0,4 ГБ на MVP и до 4 ГБ на тираже, том 20 и 50 ГиБ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60" customHeight="1">
      <c r="A20" s="50" t="n">
        <v>16</v>
      </c>
      <c r="B20" s="11" t="inlineStr">
        <is>
          <t>Сервис шаблонов заявлений (Template Service)</t>
        </is>
      </c>
      <c r="C20" s="9" t="inlineStr">
        <is>
          <t>Число выданных бланков</t>
        </is>
      </c>
      <c r="D20" s="9" t="inlineStr">
        <is>
          <t>Шаблоны — файлы размером порядка килобайт, семь на прототипе; читаются с кэшем, чтение из хранилища — при первом обращении и при обновлении. Нагрузка и объём ничтожны, но не измерялись; источник (MinIO или файловый сервер) не выбран.</t>
        </is>
      </c>
      <c r="E20" s="9" t="inlineStr">
        <is>
          <t>Допущение; не измерялось</t>
        </is>
      </c>
      <c r="F20" s="9" t="inlineStr">
        <is>
          <t>ADR-200; ADR-600</t>
        </is>
      </c>
    </row>
    <row r="21" ht="105" customHeight="1">
      <c r="A21" s="50" t="n">
        <v>17</v>
      </c>
      <c r="B21" s="11" t="inlineStr">
        <is>
          <t>Оркестрация (Kubernetes), узлы</t>
        </is>
      </c>
      <c r="C21" s="9" t="inlineStr">
        <is>
          <t>Число и размер узлов</t>
        </is>
      </c>
      <c r="D21" s="9" t="inlineStr">
        <is>
          <t>Расчёт по выбранным допущениям (лист «Sizing», базовый вариант без GPU: в кластере владельца GPU нет): MVP — 6 узлов (4 общих 8 vCPU/16 ГиБ, 2 данных 8 vCPU/32 ГиБ), тираж — 7 (+1 узел под собственную модель с A100 80 ГБ). Вариант с GPU-узлом: 6 и 8 узлов (3 общих, 2 данных, 1 GPU; на тираже ещё узел под модель). Диск под тома ≈170 ГиБ на MVP и ≈661 ГиБ на тираже. Расчёт для отдельного кластера — верхняя оценка для общего. Стоимость серверов не оценена.</t>
        </is>
      </c>
      <c r="E21" s="9" t="inlineStr">
        <is>
          <t>Расчёт по допущениям</t>
        </is>
      </c>
      <c r="F21" s="9" t="inlineStr">
        <is>
          <t>Sizing; C4_Deployment</t>
        </is>
      </c>
    </row>
    <row r="22" ht="75" customHeight="1">
      <c r="A22" s="50" t="n">
        <v>18</v>
      </c>
      <c r="B22" s="11" t="inlineStr">
        <is>
          <t>Наблюдаемость</t>
        </is>
      </c>
      <c r="C22" s="9" t="inlineStr">
        <is>
          <t>Метрики и логи</t>
        </is>
      </c>
      <c r="D22" s="9" t="inlineStr">
        <is>
          <t>Loki: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2" s="9" t="inlineStr">
        <is>
          <t>Допущение и замер</t>
        </is>
      </c>
      <c r="F22" s="9" t="inlineStr">
        <is>
          <t>Capacity_Report, раздел 6</t>
        </is>
      </c>
    </row>
    <row r="23" ht="30" customHeight="1">
      <c r="A23" s="50" t="n">
        <v>19</v>
      </c>
      <c r="B23" s="11" t="inlineStr">
        <is>
          <t>Секреты (GitLab CI variables, Kubernetes Secret)</t>
        </is>
      </c>
      <c r="C23" s="9" t="inlineStr">
        <is>
          <t>—</t>
        </is>
      </c>
      <c r="D23" s="9" t="inlineStr">
        <is>
          <t>Объёма нет.</t>
        </is>
      </c>
      <c r="E23" s="9" t="inlineStr">
        <is>
          <t>Не применимо</t>
        </is>
      </c>
      <c r="F23"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7"/>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Prometheus (запасной источник для задержки P99) и Loki (как собираются логи, неизвестно) оставлены как верхняя оценка до ответа владельца.</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0.25</v>
      </c>
      <c r="G20" s="51" t="n">
        <v>0</v>
      </c>
      <c r="H20" s="51" t="n">
        <v>0</v>
      </c>
      <c r="I20" s="53">
        <f>D20*E20</f>
        <v/>
      </c>
      <c r="J20" s="53">
        <f>D20*F20</f>
        <v/>
      </c>
      <c r="K20" s="53">
        <f>D20*G20</f>
        <v/>
      </c>
      <c r="L20" s="53">
        <f>D20*H20</f>
        <v/>
      </c>
      <c r="M20" s="51" t="n">
        <v>2</v>
      </c>
      <c r="N20" s="51" t="n">
        <v>0.25</v>
      </c>
      <c r="O20" s="51" t="n">
        <v>0.25</v>
      </c>
      <c r="P20" s="51" t="n">
        <v>0</v>
      </c>
      <c r="Q20" s="51" t="n">
        <v>0</v>
      </c>
      <c r="R20" s="53">
        <f>M20*N20</f>
        <v/>
      </c>
      <c r="S20" s="53">
        <f>M20*O20</f>
        <v/>
      </c>
      <c r="T20" s="53">
        <f>M20*P20</f>
        <v/>
      </c>
      <c r="U20" s="53">
        <f>M20*Q20</f>
        <v/>
      </c>
      <c r="V20" s="9" t="inlineStr">
        <is>
          <t>Допущение.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Inquiry Service (маршрутизация обращений, Этап 2)</t>
        </is>
      </c>
      <c r="D21" s="51" t="n">
        <v>2</v>
      </c>
      <c r="E21" s="51" t="n">
        <v>0.25</v>
      </c>
      <c r="F21" s="51" t="n">
        <v>0.5</v>
      </c>
      <c r="G21" s="51" t="n">
        <v>0</v>
      </c>
      <c r="H21" s="51" t="n">
        <v>0</v>
      </c>
      <c r="I21" s="53">
        <f>D21*E21</f>
        <v/>
      </c>
      <c r="J21" s="53">
        <f>D21*F21</f>
        <v/>
      </c>
      <c r="K21" s="53">
        <f>D21*G21</f>
        <v/>
      </c>
      <c r="L21" s="53">
        <f>D21*H21</f>
        <v/>
      </c>
      <c r="M21" s="51" t="n">
        <v>2</v>
      </c>
      <c r="N21" s="51" t="n">
        <v>0.25</v>
      </c>
      <c r="O21" s="51" t="n">
        <v>0.5</v>
      </c>
      <c r="P21" s="51" t="n">
        <v>0</v>
      </c>
      <c r="Q21" s="51" t="n">
        <v>0</v>
      </c>
      <c r="R21" s="53">
        <f>M21*N21</f>
        <v/>
      </c>
      <c r="S21" s="53">
        <f>M21*O21</f>
        <v/>
      </c>
      <c r="T21" s="53">
        <f>M21*P21</f>
        <v/>
      </c>
      <c r="U21" s="53">
        <f>M21*Q21</f>
        <v/>
      </c>
      <c r="V21" s="9" t="inlineStr">
        <is>
          <t>Допущение автора, не измерялось. Маршрутизация обращений в микросервис обращений и Диспетчерскую; до 2 800 диалогов с записью в месяц на MVP — нагрузка ничтожна.</t>
        </is>
      </c>
    </row>
    <row r="22" ht="30" customHeight="1">
      <c r="A22" s="50" t="n">
        <v>7</v>
      </c>
      <c r="B22" s="9" t="inlineStr">
        <is>
          <t>general</t>
        </is>
      </c>
      <c r="C22" s="11" t="inlineStr">
        <is>
          <t>Document Generator (PDF, Этап 2)</t>
        </is>
      </c>
      <c r="D22" s="51" t="n">
        <v>1</v>
      </c>
      <c r="E22" s="51" t="n">
        <v>0.5</v>
      </c>
      <c r="F22" s="51" t="n">
        <v>1</v>
      </c>
      <c r="G22" s="51" t="n">
        <v>0</v>
      </c>
      <c r="H22" s="51" t="n">
        <v>0</v>
      </c>
      <c r="I22" s="53">
        <f>D22*E22</f>
        <v/>
      </c>
      <c r="J22" s="53">
        <f>D22*F22</f>
        <v/>
      </c>
      <c r="K22" s="53">
        <f>D22*G22</f>
        <v/>
      </c>
      <c r="L22" s="53">
        <f>D22*H22</f>
        <v/>
      </c>
      <c r="M22" s="51" t="n">
        <v>2</v>
      </c>
      <c r="N22" s="51" t="n">
        <v>0.5</v>
      </c>
      <c r="O22" s="51" t="n">
        <v>1</v>
      </c>
      <c r="P22" s="51" t="n">
        <v>0</v>
      </c>
      <c r="Q22" s="51" t="n">
        <v>0</v>
      </c>
      <c r="R22" s="53">
        <f>M22*N22</f>
        <v/>
      </c>
      <c r="S22" s="53">
        <f>M22*O22</f>
        <v/>
      </c>
      <c r="T22" s="53">
        <f>M22*P22</f>
        <v/>
      </c>
      <c r="U22" s="53">
        <f>M22*Q22</f>
        <v/>
      </c>
      <c r="V22" s="9" t="inlineStr">
        <is>
          <t>Допущение. Библиотека PDF не выбрана; ≈1 бланк на диалог с записью (до 31 500 в месяц на тираже).</t>
        </is>
      </c>
    </row>
    <row r="23" ht="45" customHeight="1">
      <c r="A23" s="50" t="n">
        <v>8</v>
      </c>
      <c r="B23" s="9" t="inlineStr">
        <is>
          <t>general</t>
        </is>
      </c>
      <c r="C23" s="11" t="inlineStr">
        <is>
          <t>Template Service (шаблоны заявлений, MVP)</t>
        </is>
      </c>
      <c r="D23" s="51" t="n">
        <v>2</v>
      </c>
      <c r="E23" s="51" t="n">
        <v>0.25</v>
      </c>
      <c r="F23" s="51" t="n">
        <v>0.5</v>
      </c>
      <c r="G23" s="51" t="n">
        <v>0</v>
      </c>
      <c r="H23" s="51" t="n">
        <v>0</v>
      </c>
      <c r="I23" s="53">
        <f>D23*E23</f>
        <v/>
      </c>
      <c r="J23" s="53">
        <f>D23*F23</f>
        <v/>
      </c>
      <c r="K23" s="53">
        <f>D23*G23</f>
        <v/>
      </c>
      <c r="L23" s="53">
        <f>D23*H23</f>
        <v/>
      </c>
      <c r="M23" s="51" t="n">
        <v>2</v>
      </c>
      <c r="N23" s="51" t="n">
        <v>0.25</v>
      </c>
      <c r="O23" s="51" t="n">
        <v>0.5</v>
      </c>
      <c r="P23" s="51" t="n">
        <v>0</v>
      </c>
      <c r="Q23" s="51" t="n">
        <v>0</v>
      </c>
      <c r="R23" s="53">
        <f>M23*N23</f>
        <v/>
      </c>
      <c r="S23" s="53">
        <f>M23*O23</f>
        <v/>
      </c>
      <c r="T23" s="53">
        <f>M23*P23</f>
        <v/>
      </c>
      <c r="U23" s="53">
        <f>M23*Q23</f>
        <v/>
      </c>
      <c r="V23" s="9" t="inlineStr">
        <is>
          <t>Допущение автора, не измерялось. Читает шаблоны из MinIO или с файлового сервера и держит их в кэше; нагрузка ничтожна (килобайты, чтение с кэшем), 2 реплики — для отказоустойчивости. Сами шаблоны — в томе MinIO (учтены там).</t>
        </is>
      </c>
    </row>
    <row r="24" ht="30" customHeight="1">
      <c r="A24" s="50" t="n">
        <v>9</v>
      </c>
      <c r="B24" s="9" t="inlineStr">
        <is>
          <t>general</t>
        </is>
      </c>
      <c r="C24" s="11" t="inlineStr">
        <is>
          <t>ETL индексации (CronJob, окно 02:00–05:00) [вариант с GPU]</t>
        </is>
      </c>
      <c r="D24" s="51">
        <f>1*$C$12</f>
        <v/>
      </c>
      <c r="E24" s="51" t="n">
        <v>1</v>
      </c>
      <c r="F24" s="51" t="n">
        <v>2</v>
      </c>
      <c r="G24" s="51" t="n">
        <v>5</v>
      </c>
      <c r="H24" s="51" t="n">
        <v>0</v>
      </c>
      <c r="I24" s="53">
        <f>D24*E24</f>
        <v/>
      </c>
      <c r="J24" s="53">
        <f>D24*F24</f>
        <v/>
      </c>
      <c r="K24" s="53">
        <f>D24*G24</f>
        <v/>
      </c>
      <c r="L24" s="53">
        <f>D24*H24</f>
        <v/>
      </c>
      <c r="M24" s="51">
        <f>1*$C$12</f>
        <v/>
      </c>
      <c r="N24" s="51" t="n">
        <v>1</v>
      </c>
      <c r="O24" s="51" t="n">
        <v>2</v>
      </c>
      <c r="P24" s="51" t="n">
        <v>5</v>
      </c>
      <c r="Q24" s="51" t="n">
        <v>0</v>
      </c>
      <c r="R24" s="53">
        <f>M24*N24</f>
        <v/>
      </c>
      <c r="S24" s="53">
        <f>M24*O24</f>
        <v/>
      </c>
      <c r="T24" s="53">
        <f>M24*P24</f>
        <v/>
      </c>
      <c r="U24" s="53">
        <f>M24*Q24</f>
        <v/>
      </c>
      <c r="V24" s="9" t="inlineStr">
        <is>
          <t>Допущение. Эмбеддинги считает GPU-сервис; 5 ГиБ — временные файлы документов. Время индексации на GPU не измерялось.</t>
        </is>
      </c>
    </row>
    <row r="25" ht="30" customHeight="1">
      <c r="A25" s="50" t="n">
        <v>10</v>
      </c>
      <c r="B25" s="9" t="inlineStr">
        <is>
          <t>general</t>
        </is>
      </c>
      <c r="C25" s="11" t="inlineStr">
        <is>
          <t>Оценка качества (CronJob, ночной прогон)</t>
        </is>
      </c>
      <c r="D25" s="51" t="n">
        <v>1</v>
      </c>
      <c r="E25" s="51" t="n">
        <v>0.5</v>
      </c>
      <c r="F25" s="51" t="n">
        <v>1</v>
      </c>
      <c r="G25" s="51" t="n">
        <v>0</v>
      </c>
      <c r="H25" s="51" t="n">
        <v>0</v>
      </c>
      <c r="I25" s="53">
        <f>D25*E25</f>
        <v/>
      </c>
      <c r="J25" s="53">
        <f>D25*F25</f>
        <v/>
      </c>
      <c r="K25" s="53">
        <f>D25*G25</f>
        <v/>
      </c>
      <c r="L25" s="53">
        <f>D25*H25</f>
        <v/>
      </c>
      <c r="M25" s="51" t="n">
        <v>1</v>
      </c>
      <c r="N25" s="51" t="n">
        <v>0.5</v>
      </c>
      <c r="O25" s="51" t="n">
        <v>1</v>
      </c>
      <c r="P25" s="51" t="n">
        <v>0</v>
      </c>
      <c r="Q25" s="51" t="n">
        <v>0</v>
      </c>
      <c r="R25" s="53">
        <f>M25*N25</f>
        <v/>
      </c>
      <c r="S25" s="53">
        <f>M25*O25</f>
        <v/>
      </c>
      <c r="T25" s="53">
        <f>M25*P25</f>
        <v/>
      </c>
      <c r="U25" s="53">
        <f>M25*Q25</f>
        <v/>
      </c>
      <c r="V25" s="9" t="inlineStr">
        <is>
          <t>Допущение. Ходит во внешний API судьи; локальной нагрузки почти нет.</t>
        </is>
      </c>
    </row>
    <row r="26" ht="30" customHeight="1">
      <c r="A26" s="50" t="n">
        <v>11</v>
      </c>
      <c r="B26" s="9" t="inlineStr">
        <is>
          <t>general</t>
        </is>
      </c>
      <c r="C26" s="11" t="inlineStr">
        <is>
          <t>Prometheus</t>
        </is>
      </c>
      <c r="D26" s="51" t="n">
        <v>1</v>
      </c>
      <c r="E26" s="51" t="n">
        <v>0.5</v>
      </c>
      <c r="F26" s="51" t="n">
        <v>1</v>
      </c>
      <c r="G26" s="51" t="n">
        <v>10</v>
      </c>
      <c r="H26" s="51" t="n">
        <v>0</v>
      </c>
      <c r="I26" s="53">
        <f>D26*E26</f>
        <v/>
      </c>
      <c r="J26" s="53">
        <f>D26*F26</f>
        <v/>
      </c>
      <c r="K26" s="53">
        <f>D26*G26</f>
        <v/>
      </c>
      <c r="L26" s="53">
        <f>D26*H26</f>
        <v/>
      </c>
      <c r="M26" s="51" t="n">
        <v>1</v>
      </c>
      <c r="N26" s="51" t="n">
        <v>0.5</v>
      </c>
      <c r="O26" s="51" t="n">
        <v>1</v>
      </c>
      <c r="P26" s="51" t="n">
        <v>10</v>
      </c>
      <c r="Q26" s="51" t="n">
        <v>0</v>
      </c>
      <c r="R26" s="53">
        <f>M26*N26</f>
        <v/>
      </c>
      <c r="S26" s="53">
        <f>M26*O26</f>
        <v/>
      </c>
      <c r="T26" s="53">
        <f>M26*P26</f>
        <v/>
      </c>
      <c r="U26" s="53">
        <f>M26*Q26</f>
        <v/>
      </c>
      <c r="V26" s="9" t="inlineStr">
        <is>
          <t>Замер: 84 ряда на процесс приложения; допущение: до 20 000 рядов с метриками кластера, хранение 15 суток ≈2,6 ГБ.</t>
        </is>
      </c>
    </row>
    <row r="27" ht="45" customHeight="1">
      <c r="A27" s="50" t="n">
        <v>12</v>
      </c>
      <c r="B27" s="9" t="inlineStr">
        <is>
          <t>general</t>
        </is>
      </c>
      <c r="C27" s="11" t="inlineStr">
        <is>
          <t>Loki</t>
        </is>
      </c>
      <c r="D27" s="51" t="n">
        <v>1</v>
      </c>
      <c r="E27" s="51" t="n">
        <v>0.5</v>
      </c>
      <c r="F27" s="51" t="n">
        <v>1</v>
      </c>
      <c r="G27" s="51" t="n">
        <v>20</v>
      </c>
      <c r="H27" s="51" t="n">
        <v>0</v>
      </c>
      <c r="I27" s="53">
        <f>D27*E27</f>
        <v/>
      </c>
      <c r="J27" s="53">
        <f>D27*F27</f>
        <v/>
      </c>
      <c r="K27" s="53">
        <f>D27*G27</f>
        <v/>
      </c>
      <c r="L27" s="53">
        <f>D27*H27</f>
        <v/>
      </c>
      <c r="M27" s="51" t="n">
        <v>1</v>
      </c>
      <c r="N27" s="51" t="n">
        <v>0.5</v>
      </c>
      <c r="O27" s="51" t="n">
        <v>1</v>
      </c>
      <c r="P27" s="51" t="n">
        <v>20</v>
      </c>
      <c r="Q27" s="51" t="n">
        <v>0</v>
      </c>
      <c r="R27" s="53">
        <f>M27*N27</f>
        <v/>
      </c>
      <c r="S27" s="53">
        <f>M27*O27</f>
        <v/>
      </c>
      <c r="T27" s="53">
        <f>M27*P27</f>
        <v/>
      </c>
      <c r="U27" s="53">
        <f>M27*Q27</f>
        <v/>
      </c>
      <c r="V27"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t>
        </is>
      </c>
    </row>
    <row r="28" ht="60" customHeight="1">
      <c r="A28" s="50" t="n">
        <v>13</v>
      </c>
      <c r="B28" s="9" t="inlineStr">
        <is>
          <t>data</t>
        </is>
      </c>
      <c r="C28" s="11" t="inlineStr">
        <is>
          <t>Qdrant</t>
        </is>
      </c>
      <c r="D28" s="51" t="n">
        <v>1</v>
      </c>
      <c r="E28" s="51" t="n">
        <v>1</v>
      </c>
      <c r="F28" s="51" t="n">
        <v>2</v>
      </c>
      <c r="G28" s="51" t="n">
        <v>10</v>
      </c>
      <c r="H28" s="51" t="n">
        <v>0</v>
      </c>
      <c r="I28" s="53">
        <f>D28*E28</f>
        <v/>
      </c>
      <c r="J28" s="53">
        <f>D28*F28</f>
        <v/>
      </c>
      <c r="K28" s="53">
        <f>D28*G28</f>
        <v/>
      </c>
      <c r="L28" s="53">
        <f>D28*H28</f>
        <v/>
      </c>
      <c r="M28" s="51" t="n">
        <v>2</v>
      </c>
      <c r="N28" s="51" t="n">
        <v>1</v>
      </c>
      <c r="O28" s="51" t="n">
        <v>2</v>
      </c>
      <c r="P28" s="51" t="n">
        <v>10</v>
      </c>
      <c r="Q28" s="51" t="n">
        <v>0</v>
      </c>
      <c r="R28" s="53">
        <f>M28*N28</f>
        <v/>
      </c>
      <c r="S28" s="53">
        <f>M28*O28</f>
        <v/>
      </c>
      <c r="T28" s="53">
        <f>M28*P28</f>
        <v/>
      </c>
      <c r="U28" s="53">
        <f>M28*Q28</f>
        <v/>
      </c>
      <c r="V28"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9" ht="105" customHeight="1">
      <c r="A29" s="50" t="n">
        <v>14</v>
      </c>
      <c r="B29" s="9" t="inlineStr">
        <is>
          <t>data</t>
        </is>
      </c>
      <c r="C29" s="11" t="inlineStr">
        <is>
          <t>Postgres (обращения, телеметрия, журнал диалогов)</t>
        </is>
      </c>
      <c r="D29" s="51" t="n">
        <v>1</v>
      </c>
      <c r="E29" s="51" t="n">
        <v>1</v>
      </c>
      <c r="F29" s="51" t="n">
        <v>2</v>
      </c>
      <c r="G29" s="51" t="n">
        <v>20</v>
      </c>
      <c r="H29" s="51" t="n">
        <v>0</v>
      </c>
      <c r="I29" s="53">
        <f>D29*E29</f>
        <v/>
      </c>
      <c r="J29" s="53">
        <f>D29*F29</f>
        <v/>
      </c>
      <c r="K29" s="53">
        <f>D29*G29</f>
        <v/>
      </c>
      <c r="L29" s="53">
        <f>D29*H29</f>
        <v/>
      </c>
      <c r="M29" s="51" t="n">
        <v>2</v>
      </c>
      <c r="N29" s="51" t="n">
        <v>1</v>
      </c>
      <c r="O29" s="51" t="n">
        <v>2</v>
      </c>
      <c r="P29" s="51" t="n">
        <v>50</v>
      </c>
      <c r="Q29" s="51" t="n">
        <v>0</v>
      </c>
      <c r="R29" s="53">
        <f>M29*N29</f>
        <v/>
      </c>
      <c r="S29" s="53">
        <f>M29*O29</f>
        <v/>
      </c>
      <c r="T29" s="53">
        <f>M29*P29</f>
        <v/>
      </c>
      <c r="U29" s="53">
        <f>M29*Q29</f>
        <v/>
      </c>
      <c r="V29" s="9" t="inlineStr">
        <is>
          <t>Расчёт по максимуму прогноза: журнал диалогов за 90 суток (4 КБ на диалог) — 84 МБ на MVP и 0,95 ГБ на тираже; события использования 0,11 ГБ и 1,2 ГБ в год (308 байт на строку, замер); обращения (заложено 2 КБ на строку, замер по 8 строкам — 0,58 КБ; доля записи 40%) 0,07 и 0,76 ГБ в год. Данные абонента в Postgres не хранятся: они читаются из Биллинга и Диспетчерской в момент вопроса (решение 25 сентября 2026; прежняя строка профиля 24 МБ и 270 МБ снята). Итого до 0,4 ГБ (MVP) и до 4 ГБ (тираж; подробные события хранятся 12 месяцев, старше — сводная таблица); диск с запасом на журнал и копии.</t>
        </is>
      </c>
    </row>
    <row r="30" ht="45" customHeight="1">
      <c r="A30" s="50" t="n">
        <v>15</v>
      </c>
      <c r="B30" s="9" t="inlineStr">
        <is>
          <t>data</t>
        </is>
      </c>
      <c r="C30" s="11" t="inlineStr">
        <is>
          <t>Redis (квоты и сессии)</t>
        </is>
      </c>
      <c r="D30" s="51" t="n">
        <v>1</v>
      </c>
      <c r="E30" s="51" t="n">
        <v>0.1</v>
      </c>
      <c r="F30" s="51" t="n">
        <v>0.25</v>
      </c>
      <c r="G30" s="51" t="n">
        <v>1</v>
      </c>
      <c r="H30" s="51" t="n">
        <v>0</v>
      </c>
      <c r="I30" s="53">
        <f>D30*E30</f>
        <v/>
      </c>
      <c r="J30" s="53">
        <f>D30*F30</f>
        <v/>
      </c>
      <c r="K30" s="53">
        <f>D30*G30</f>
        <v/>
      </c>
      <c r="L30" s="53">
        <f>D30*H30</f>
        <v/>
      </c>
      <c r="M30" s="51" t="n">
        <v>2</v>
      </c>
      <c r="N30" s="51" t="n">
        <v>0.1</v>
      </c>
      <c r="O30" s="51" t="n">
        <v>0.25</v>
      </c>
      <c r="P30" s="51" t="n">
        <v>1</v>
      </c>
      <c r="Q30" s="51" t="n">
        <v>0</v>
      </c>
      <c r="R30" s="53">
        <f>M30*N30</f>
        <v/>
      </c>
      <c r="S30" s="53">
        <f>M30*O30</f>
        <v/>
      </c>
      <c r="T30" s="53">
        <f>M30*P30</f>
        <v/>
      </c>
      <c r="U30" s="53">
        <f>M30*Q30</f>
        <v/>
      </c>
      <c r="V30"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31" ht="45" customHeight="1">
      <c r="A31" s="50" t="n">
        <v>16</v>
      </c>
      <c r="B31" s="9" t="inlineStr">
        <is>
          <t>data</t>
        </is>
      </c>
      <c r="C31" s="11" t="inlineStr">
        <is>
          <t>MinIO (документы, копии, снимки)</t>
        </is>
      </c>
      <c r="D31" s="51" t="n">
        <v>1</v>
      </c>
      <c r="E31" s="51" t="n">
        <v>0.25</v>
      </c>
      <c r="F31" s="51" t="n">
        <v>0.5</v>
      </c>
      <c r="G31" s="51" t="n">
        <v>100</v>
      </c>
      <c r="H31" s="51" t="n">
        <v>0</v>
      </c>
      <c r="I31" s="53">
        <f>D31*E31</f>
        <v/>
      </c>
      <c r="J31" s="53">
        <f>D31*F31</f>
        <v/>
      </c>
      <c r="K31" s="53">
        <f>D31*G31</f>
        <v/>
      </c>
      <c r="L31" s="53">
        <f>D31*H31</f>
        <v/>
      </c>
      <c r="M31" s="51" t="n">
        <v>1</v>
      </c>
      <c r="N31" s="51" t="n">
        <v>0.5</v>
      </c>
      <c r="O31" s="51" t="n">
        <v>1</v>
      </c>
      <c r="P31" s="51" t="n">
        <v>400</v>
      </c>
      <c r="Q31" s="51" t="n">
        <v>0</v>
      </c>
      <c r="R31" s="53">
        <f>M31*N31</f>
        <v/>
      </c>
      <c r="S31" s="53">
        <f>M31*O31</f>
        <v/>
      </c>
      <c r="T31" s="53">
        <f>M31*P31</f>
        <v/>
      </c>
      <c r="U31" s="53">
        <f>M31*Q31</f>
        <v/>
      </c>
      <c r="V31"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2" ht="30" customHeight="1">
      <c r="A32" s="50" t="n">
        <v>17</v>
      </c>
      <c r="B32" s="9" t="inlineStr">
        <is>
          <t>gpu</t>
        </is>
      </c>
      <c r="C32" s="11" t="inlineStr">
        <is>
          <t>Эмбеддинги (BGE-M3, inference) [вариант с GPU]</t>
        </is>
      </c>
      <c r="D32" s="51">
        <f>1*$C$12</f>
        <v/>
      </c>
      <c r="E32" s="51" t="n">
        <v>1</v>
      </c>
      <c r="F32" s="51" t="n">
        <v>4</v>
      </c>
      <c r="G32" s="51" t="n">
        <v>5</v>
      </c>
      <c r="H32" s="51" t="n">
        <v>2</v>
      </c>
      <c r="I32" s="53">
        <f>D32*E32</f>
        <v/>
      </c>
      <c r="J32" s="53">
        <f>D32*F32</f>
        <v/>
      </c>
      <c r="K32" s="53">
        <f>D32*G32</f>
        <v/>
      </c>
      <c r="L32" s="53">
        <f>D32*H32</f>
        <v/>
      </c>
      <c r="M32" s="51">
        <f>1*$C$12</f>
        <v/>
      </c>
      <c r="N32" s="51" t="n">
        <v>1</v>
      </c>
      <c r="O32" s="51" t="n">
        <v>4</v>
      </c>
      <c r="P32" s="51" t="n">
        <v>5</v>
      </c>
      <c r="Q32" s="51" t="n">
        <v>2</v>
      </c>
      <c r="R32" s="53">
        <f>M32*N32</f>
        <v/>
      </c>
      <c r="S32" s="53">
        <f>M32*O32</f>
        <v/>
      </c>
      <c r="T32" s="53">
        <f>M32*P32</f>
        <v/>
      </c>
      <c r="U32" s="53">
        <f>M32*Q32</f>
        <v/>
      </c>
      <c r="V32" s="9" t="inlineStr">
        <is>
          <t>Замер: веса 2,14 ГиБ (fp32); на диске 4,25 ГБ — две копии в кэше. Расчёт: в fp16 ≈1,1 ГиБ + запас — ≈2 ГиБ видеопамяти. Скорость на GPU не измерялась.</t>
        </is>
      </c>
    </row>
    <row r="33" ht="30" customHeight="1">
      <c r="A33" s="50" t="n">
        <v>18</v>
      </c>
      <c r="B33" s="9" t="inlineStr">
        <is>
          <t>gpu</t>
        </is>
      </c>
      <c r="C33" s="11" t="inlineStr">
        <is>
          <t>Реранкер (BGE-reranker-v2-m3, inference) [вариант с GPU]</t>
        </is>
      </c>
      <c r="D33" s="51">
        <f>1*$C$12</f>
        <v/>
      </c>
      <c r="E33" s="51" t="n">
        <v>1</v>
      </c>
      <c r="F33" s="51" t="n">
        <v>3</v>
      </c>
      <c r="G33" s="51" t="n">
        <v>3</v>
      </c>
      <c r="H33" s="51" t="n">
        <v>1.5</v>
      </c>
      <c r="I33" s="53">
        <f>D33*E33</f>
        <v/>
      </c>
      <c r="J33" s="53">
        <f>D33*F33</f>
        <v/>
      </c>
      <c r="K33" s="53">
        <f>D33*G33</f>
        <v/>
      </c>
      <c r="L33" s="53">
        <f>D33*H33</f>
        <v/>
      </c>
      <c r="M33" s="51">
        <f>1*$C$12</f>
        <v/>
      </c>
      <c r="N33" s="51" t="n">
        <v>1</v>
      </c>
      <c r="O33" s="51" t="n">
        <v>3</v>
      </c>
      <c r="P33" s="51" t="n">
        <v>3</v>
      </c>
      <c r="Q33" s="51" t="n">
        <v>1.5</v>
      </c>
      <c r="R33" s="53">
        <f>M33*N33</f>
        <v/>
      </c>
      <c r="S33" s="53">
        <f>M33*O33</f>
        <v/>
      </c>
      <c r="T33" s="53">
        <f>M33*P33</f>
        <v/>
      </c>
      <c r="U33" s="53">
        <f>M33*Q33</f>
        <v/>
      </c>
      <c r="V33" s="9" t="inlineStr">
        <is>
          <t>Замер: веса 2,14 ГиБ (fp32). Расчёт: в fp16 ≈1,1 ГиБ + запас — ≈1,5 ГиБ видеопамяти. Скорость на GPU не измерялась; на CPU 7,2 с на 20 кандидатов.</t>
        </is>
      </c>
    </row>
    <row r="34" ht="30" customHeight="1">
      <c r="A34" s="50" t="n">
        <v>19</v>
      </c>
      <c r="B34" s="9" t="inlineStr">
        <is>
          <t>gpu-llm</t>
        </is>
      </c>
      <c r="C34" s="11" t="inlineStr">
        <is>
          <t>Собственная модель (Qwen2.5-32B INT4, vLLM) — по триггеру</t>
        </is>
      </c>
      <c r="D34" s="51" t="n">
        <v>0</v>
      </c>
      <c r="E34" s="51" t="n">
        <v>8</v>
      </c>
      <c r="F34" s="51" t="n">
        <v>64</v>
      </c>
      <c r="G34" s="51" t="n">
        <v>100</v>
      </c>
      <c r="H34" s="51" t="n">
        <v>0</v>
      </c>
      <c r="I34" s="53">
        <f>D34*E34</f>
        <v/>
      </c>
      <c r="J34" s="53">
        <f>D34*F34</f>
        <v/>
      </c>
      <c r="K34" s="53">
        <f>D34*G34</f>
        <v/>
      </c>
      <c r="L34" s="53">
        <f>D34*H34</f>
        <v/>
      </c>
      <c r="M34" s="51" t="n">
        <v>1</v>
      </c>
      <c r="N34" s="51" t="n">
        <v>8</v>
      </c>
      <c r="O34" s="51" t="n">
        <v>64</v>
      </c>
      <c r="P34" s="51" t="n">
        <v>100</v>
      </c>
      <c r="Q34" s="51" t="n">
        <v>40</v>
      </c>
      <c r="R34" s="53">
        <f>M34*N34</f>
        <v/>
      </c>
      <c r="S34" s="53">
        <f>M34*O34</f>
        <v/>
      </c>
      <c r="T34" s="53">
        <f>M34*P34</f>
        <v/>
      </c>
      <c r="U34" s="53">
        <f>M34*Q34</f>
        <v/>
      </c>
      <c r="V34" s="9" t="inlineStr">
        <is>
          <t>Только на тираже по триггеру. Видеопамять 40 ГБ — допущение (веса INT4 ожидаются 17–20 ГБ, заложено 34 ГБ, плюс кэш); проверка на карте не проводилась.</t>
        </is>
      </c>
    </row>
    <row r="35" ht="45" customHeight="1">
      <c r="A35" s="50" t="n">
        <v>20</v>
      </c>
      <c r="B35" s="9" t="inlineStr">
        <is>
          <t>general</t>
        </is>
      </c>
      <c r="C35" s="11" t="inlineStr">
        <is>
          <t>Эмбеддинги (e5-small на CPU) [вариант без GPU]</t>
        </is>
      </c>
      <c r="D35" s="51">
        <f>2*(1-$C$12)</f>
        <v/>
      </c>
      <c r="E35" s="51" t="n">
        <v>1</v>
      </c>
      <c r="F35" s="51" t="n">
        <v>1.5</v>
      </c>
      <c r="G35" s="51" t="n">
        <v>2</v>
      </c>
      <c r="H35" s="51" t="n">
        <v>0</v>
      </c>
      <c r="I35" s="53">
        <f>D35*E35</f>
        <v/>
      </c>
      <c r="J35" s="53">
        <f>D35*F35</f>
        <v/>
      </c>
      <c r="K35" s="53">
        <f>D35*G35</f>
        <v/>
      </c>
      <c r="L35" s="53">
        <f>D35*H35</f>
        <v/>
      </c>
      <c r="M35" s="51">
        <f>2*(1-$C$12)</f>
        <v/>
      </c>
      <c r="N35" s="51" t="n">
        <v>1</v>
      </c>
      <c r="O35" s="51" t="n">
        <v>1.5</v>
      </c>
      <c r="P35" s="51" t="n">
        <v>2</v>
      </c>
      <c r="Q35" s="51" t="n">
        <v>0</v>
      </c>
      <c r="R35" s="53">
        <f>M35*N35</f>
        <v/>
      </c>
      <c r="S35" s="53">
        <f>M35*O35</f>
        <v/>
      </c>
      <c r="T35" s="53">
        <f>M35*P35</f>
        <v/>
      </c>
      <c r="U35" s="53">
        <f>M35*Q35</f>
        <v/>
      </c>
      <c r="V35"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6" ht="45" customHeight="1">
      <c r="A36" s="50" t="n">
        <v>21</v>
      </c>
      <c r="B36" s="9" t="inlineStr">
        <is>
          <t>general</t>
        </is>
      </c>
      <c r="C36" s="11" t="inlineStr">
        <is>
          <t>ETL индексации: эмбеддинги на CPU (CronJob) [вариант без GPU]</t>
        </is>
      </c>
      <c r="D36" s="51">
        <f>1*(1-$C$12)</f>
        <v/>
      </c>
      <c r="E36" s="51" t="n">
        <v>4</v>
      </c>
      <c r="F36" s="51" t="n">
        <v>4</v>
      </c>
      <c r="G36" s="51" t="n">
        <v>5</v>
      </c>
      <c r="H36" s="51" t="n">
        <v>0</v>
      </c>
      <c r="I36" s="53">
        <f>D36*E36</f>
        <v/>
      </c>
      <c r="J36" s="53">
        <f>D36*F36</f>
        <v/>
      </c>
      <c r="K36" s="53">
        <f>D36*G36</f>
        <v/>
      </c>
      <c r="L36" s="53">
        <f>D36*H36</f>
        <v/>
      </c>
      <c r="M36" s="51">
        <f>1*(1-$C$12)</f>
        <v/>
      </c>
      <c r="N36" s="51" t="n">
        <v>4</v>
      </c>
      <c r="O36" s="51" t="n">
        <v>4</v>
      </c>
      <c r="P36" s="51" t="n">
        <v>5</v>
      </c>
      <c r="Q36" s="51" t="n">
        <v>0</v>
      </c>
      <c r="R36" s="53">
        <f>M36*N36</f>
        <v/>
      </c>
      <c r="S36" s="53">
        <f>M36*O36</f>
        <v/>
      </c>
      <c r="T36" s="53">
        <f>M36*P36</f>
        <v/>
      </c>
      <c r="U36" s="53">
        <f>M36*Q36</f>
        <v/>
      </c>
      <c r="V36"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8">
      <c r="C38" s="43" t="inlineStr">
        <is>
          <t>Итог по пулам узлов</t>
        </is>
      </c>
      <c r="P38" s="9" t="inlineStr">
        <is>
          <t>Загрузка узла по запросам, не выше</t>
        </is>
      </c>
      <c r="Q38" s="54" t="n">
        <v>0.7</v>
      </c>
    </row>
    <row r="39">
      <c r="B39" s="5" t="inlineStr">
        <is>
          <t>Пул</t>
        </is>
      </c>
      <c r="C39" s="5" t="inlineStr">
        <is>
          <t>Класс узла</t>
        </is>
      </c>
      <c r="D39" s="5" t="inlineStr">
        <is>
          <t>vCPU узла</t>
        </is>
      </c>
      <c r="E39" s="5" t="inlineStr">
        <is>
          <t>ОЗУ узла, ГиБ</t>
        </is>
      </c>
      <c r="F39" s="5" t="inlineStr">
        <is>
          <t>Видеопамять узла, ГиБ</t>
        </is>
      </c>
      <c r="G39" s="5" t="inlineStr">
        <is>
          <t>Запас на потерю узла (1 — да)</t>
        </is>
      </c>
      <c r="H39" s="5" t="inlineStr">
        <is>
          <t>MVP: vCPU</t>
        </is>
      </c>
      <c r="I39" s="5" t="inlineStr">
        <is>
          <t>MVP: ОЗУ</t>
        </is>
      </c>
      <c r="J39" s="5" t="inlineStr">
        <is>
          <t>MVP: видеопамять</t>
        </is>
      </c>
      <c r="K39" s="5" t="inlineStr">
        <is>
          <t>MVP: узлов</t>
        </is>
      </c>
      <c r="L39" s="5" t="inlineStr">
        <is>
          <t>Тираж: vCPU</t>
        </is>
      </c>
      <c r="M39" s="5" t="inlineStr">
        <is>
          <t>Тираж: ОЗУ</t>
        </is>
      </c>
      <c r="N39" s="5" t="inlineStr">
        <is>
          <t>Тираж: видеопамять</t>
        </is>
      </c>
      <c r="O39" s="5" t="inlineStr">
        <is>
          <t>Тираж: узлов</t>
        </is>
      </c>
    </row>
    <row r="40">
      <c r="B40" s="11" t="inlineStr">
        <is>
          <t>general</t>
        </is>
      </c>
      <c r="C40" s="9" t="inlineStr">
        <is>
          <t>Общий пул (платформа, приложение, наблюдаемость)</t>
        </is>
      </c>
      <c r="D40" s="10" t="n">
        <v>8</v>
      </c>
      <c r="E40" s="10" t="n">
        <v>16</v>
      </c>
      <c r="F40" s="10" t="n">
        <v>0</v>
      </c>
      <c r="G40" s="10" t="n">
        <v>1</v>
      </c>
      <c r="H40" s="55">
        <f>SUMIF($B$16:$B$36,$B40,$I$16:$I$36)</f>
        <v/>
      </c>
      <c r="I40" s="55">
        <f>SUMIF($B$16:$B$36,$B40,$J$16:$J$36)</f>
        <v/>
      </c>
      <c r="J40" s="55">
        <f>SUMIF($B$16:$B$36,$B40,$L$16:$L$36)</f>
        <v/>
      </c>
      <c r="K40" s="56">
        <f>IF(H40=0,0,ROUNDUP(MAX(H40/($Q$38*$D40),I40/($Q$38*$E40),IF($F40&gt;0,J40/($Q$38*$F40),0)),0)+$G40)</f>
        <v/>
      </c>
      <c r="L40" s="55">
        <f>SUMIF($B$16:$B$36,$B40,$R$16:$R$36)</f>
        <v/>
      </c>
      <c r="M40" s="55">
        <f>SUMIF($B$16:$B$36,$B40,$S$16:$S$36)</f>
        <v/>
      </c>
      <c r="N40" s="55">
        <f>SUMIF($B$16:$B$36,$B40,$U$16:$U$36)</f>
        <v/>
      </c>
      <c r="O40" s="56">
        <f>IF(L40=0,0,ROUNDUP(MAX(L40/($Q$38*$D40),M40/($Q$38*$E40),IF($F40&gt;0,N40/($Q$38*$F40),0)),0)+$G40)</f>
        <v/>
      </c>
    </row>
    <row r="41">
      <c r="B41" s="11" t="inlineStr">
        <is>
          <t>data</t>
        </is>
      </c>
      <c r="C41" s="9" t="inlineStr">
        <is>
          <t>Пул данных (NVMe)</t>
        </is>
      </c>
      <c r="D41" s="10" t="n">
        <v>8</v>
      </c>
      <c r="E41" s="10" t="n">
        <v>32</v>
      </c>
      <c r="F41" s="10" t="n">
        <v>0</v>
      </c>
      <c r="G41" s="10" t="n">
        <v>1</v>
      </c>
      <c r="H41" s="55">
        <f>SUMIF($B$16:$B$36,$B41,$I$16:$I$36)</f>
        <v/>
      </c>
      <c r="I41" s="55">
        <f>SUMIF($B$16:$B$36,$B41,$J$16:$J$36)</f>
        <v/>
      </c>
      <c r="J41" s="55">
        <f>SUMIF($B$16:$B$36,$B41,$L$16:$L$36)</f>
        <v/>
      </c>
      <c r="K41" s="56">
        <f>IF(H41=0,0,ROUNDUP(MAX(H41/($Q$38*$D41),I41/($Q$38*$E41),IF($F41&gt;0,J41/($Q$38*$F41),0)),0)+$G41)</f>
        <v/>
      </c>
      <c r="L41" s="55">
        <f>SUMIF($B$16:$B$36,$B41,$R$16:$R$36)</f>
        <v/>
      </c>
      <c r="M41" s="55">
        <f>SUMIF($B$16:$B$36,$B41,$S$16:$S$36)</f>
        <v/>
      </c>
      <c r="N41" s="55">
        <f>SUMIF($B$16:$B$36,$B41,$U$16:$U$36)</f>
        <v/>
      </c>
      <c r="O41" s="56">
        <f>IF(L41=0,0,ROUNDUP(MAX(L41/($Q$38*$D41),M41/($Q$38*$E41),IF($F41&gt;0,N41/($Q$38*$F41),0)),0)+$G41)</f>
        <v/>
      </c>
    </row>
    <row r="42">
      <c r="B42" s="11" t="inlineStr">
        <is>
          <t>gpu</t>
        </is>
      </c>
      <c r="C42" s="9" t="inlineStr">
        <is>
          <t>GPU-пул (эмбеддинги, реранкер)</t>
        </is>
      </c>
      <c r="D42" s="10" t="n">
        <v>8</v>
      </c>
      <c r="E42" s="10" t="n">
        <v>32</v>
      </c>
      <c r="F42" s="10" t="n">
        <v>24</v>
      </c>
      <c r="G42" s="10" t="n">
        <v>0</v>
      </c>
      <c r="H42" s="55">
        <f>SUMIF($B$16:$B$36,$B42,$I$16:$I$36)</f>
        <v/>
      </c>
      <c r="I42" s="55">
        <f>SUMIF($B$16:$B$36,$B42,$J$16:$J$36)</f>
        <v/>
      </c>
      <c r="J42" s="55">
        <f>SUMIF($B$16:$B$36,$B42,$L$16:$L$36)</f>
        <v/>
      </c>
      <c r="K42" s="56">
        <f>IF(H42=0,0,ROUNDUP(MAX(H42/($Q$38*$D42),I42/($Q$38*$E42),IF($F42&gt;0,J42/($Q$38*$F42),0)),0)+$G42)</f>
        <v/>
      </c>
      <c r="L42" s="55">
        <f>SUMIF($B$16:$B$36,$B42,$R$16:$R$36)</f>
        <v/>
      </c>
      <c r="M42" s="55">
        <f>SUMIF($B$16:$B$36,$B42,$S$16:$S$36)</f>
        <v/>
      </c>
      <c r="N42" s="55">
        <f>SUMIF($B$16:$B$36,$B42,$U$16:$U$36)</f>
        <v/>
      </c>
      <c r="O42" s="56">
        <f>IF(L42=0,0,ROUNDUP(MAX(L42/($Q$38*$D42),M42/($Q$38*$E42),IF($F42&gt;0,N42/($Q$38*$F42),0)),0)+$G42)</f>
        <v/>
      </c>
    </row>
    <row r="43">
      <c r="B43" s="11" t="inlineStr">
        <is>
          <t>gpu-llm</t>
        </is>
      </c>
      <c r="C43" s="9" t="inlineStr">
        <is>
          <t>GPU-пул генерации (тираж)</t>
        </is>
      </c>
      <c r="D43" s="10" t="n">
        <v>16</v>
      </c>
      <c r="E43" s="10" t="n">
        <v>128</v>
      </c>
      <c r="F43" s="10" t="n">
        <v>80</v>
      </c>
      <c r="G43" s="10" t="n">
        <v>0</v>
      </c>
      <c r="H43" s="55">
        <f>SUMIF($B$16:$B$36,$B43,$I$16:$I$36)</f>
        <v/>
      </c>
      <c r="I43" s="55">
        <f>SUMIF($B$16:$B$36,$B43,$J$16:$J$36)</f>
        <v/>
      </c>
      <c r="J43" s="55">
        <f>SUMIF($B$16:$B$36,$B43,$L$16:$L$36)</f>
        <v/>
      </c>
      <c r="K43" s="56">
        <f>IF(H43=0,0,ROUNDUP(MAX(H43/($Q$38*$D43),I43/($Q$38*$E43),IF($F43&gt;0,J43/($Q$38*$F43),0)),0)+$G43)</f>
        <v/>
      </c>
      <c r="L43" s="55">
        <f>SUMIF($B$16:$B$36,$B43,$R$16:$R$36)</f>
        <v/>
      </c>
      <c r="M43" s="55">
        <f>SUMIF($B$16:$B$36,$B43,$S$16:$S$36)</f>
        <v/>
      </c>
      <c r="N43" s="55">
        <f>SUMIF($B$16:$B$36,$B43,$U$16:$U$36)</f>
        <v/>
      </c>
      <c r="O43" s="56">
        <f>IF(L43=0,0,ROUNDUP(MAX(L43/($Q$38*$D43),M43/($Q$38*$E43),IF($F43&gt;0,N43/($Q$38*$F43),0)),0)+$G43)</f>
        <v/>
      </c>
    </row>
    <row r="44">
      <c r="B44" s="11" t="inlineStr">
        <is>
          <t>Итого узлов</t>
        </is>
      </c>
      <c r="K44" s="57">
        <f>SUM(K40:K43)</f>
        <v/>
      </c>
      <c r="O44" s="57">
        <f>SUM(O40:O43)</f>
        <v/>
      </c>
    </row>
    <row r="45">
      <c r="B45" s="11" t="inlineStr">
        <is>
          <t>Диск под тома, ГиБ</t>
        </is>
      </c>
      <c r="K45" s="58">
        <f>SUM($K$16:$K$36)</f>
        <v/>
      </c>
      <c r="O45" s="58">
        <f>SUM($T$16:$T$36)</f>
        <v/>
      </c>
    </row>
    <row r="47">
      <c r="B47"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0.7</v>
      </c>
      <c r="G8" s="9" t="inlineStr">
        <is>
          <t>Замер на двух наборах живых текстов: 30% (регистр обращений по телефону и почте) и 70% (форма вопросов Golden Set).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401</v>
      </c>
      <c r="D9" s="59" t="n">
        <v>3500</v>
      </c>
      <c r="G9" s="9" t="inlineStr">
        <is>
          <t>Минимум — замер по 19 вызовам YandexGPT (короткие фрагменты FAQ). Максимум — допущение: системный текст + 3 фрагмента по ≈800 токенов.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2026-09-25T08:13:41Z</dcterms:created>
  <dcterms:modified xmlns:dcterms="http://purl.org/dc/terms/" xmlns:xsi="http://www.w3.org/2001/XMLSchema-instance" xsi:type="dcterms:W3CDTF">2026-09-25T08:13:41Z</dcterms:modified>
</cp:coreProperties>
</file>